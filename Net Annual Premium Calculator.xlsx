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9FA94B-1C76-4EFC-8EF4-FE6B3DCCDB08}" xr6:coauthVersionLast="47" xr6:coauthVersionMax="47" xr10:uidLastSave="{00000000-0000-0000-0000-000000000000}"/>
  <bookViews>
    <workbookView xWindow="-108" yWindow="-108" windowWidth="23256" windowHeight="12456" xr2:uid="{CB19D3E3-F845-47E8-9192-1BCB1D729D79}"/>
  </bookViews>
  <sheets>
    <sheet name="Assignmen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5" i="2" l="1"/>
  <c r="M37" i="2"/>
  <c r="M29" i="2"/>
  <c r="M21" i="2"/>
  <c r="K13" i="2"/>
  <c r="D20" i="2" l="1"/>
  <c r="M62" i="2"/>
  <c r="M53" i="2"/>
  <c r="M63" i="2"/>
  <c r="M61" i="2"/>
  <c r="M60" i="2"/>
  <c r="M59" i="2"/>
  <c r="M54" i="2" l="1"/>
  <c r="M52" i="2"/>
  <c r="M51" i="2"/>
  <c r="M46" i="2" l="1"/>
  <c r="M44" i="2"/>
  <c r="M43" i="2"/>
  <c r="M42" i="2"/>
  <c r="M38" i="2"/>
  <c r="M36" i="2"/>
  <c r="M35" i="2"/>
  <c r="M34" i="2"/>
  <c r="M28" i="2"/>
  <c r="M19" i="2"/>
  <c r="M26" i="2"/>
  <c r="M27" i="2"/>
  <c r="M30" i="2"/>
  <c r="M22" i="2"/>
  <c r="M20" i="2"/>
  <c r="C20" i="2" l="1"/>
  <c r="E20" i="2" l="1"/>
  <c r="D21" i="2" s="1"/>
  <c r="C16" i="2"/>
  <c r="F20" i="2" s="1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A21" i="2" a="1"/>
  <c r="A21" i="2" s="1"/>
  <c r="G20" i="2" l="1"/>
  <c r="E21" i="2"/>
  <c r="G21" i="2" s="1"/>
  <c r="F21" i="2"/>
  <c r="D22" i="2" l="1"/>
  <c r="F22" i="2" s="1"/>
  <c r="E22" i="2" l="1"/>
  <c r="G22" i="2" s="1"/>
  <c r="D23" i="2" l="1"/>
  <c r="E23" i="2" s="1"/>
  <c r="G23" i="2" s="1"/>
  <c r="D24" i="2" l="1"/>
  <c r="F24" i="2" s="1"/>
  <c r="F23" i="2"/>
  <c r="E24" i="2" l="1"/>
  <c r="G24" i="2" s="1"/>
  <c r="D25" i="2" l="1"/>
  <c r="F25" i="2" s="1"/>
  <c r="E25" i="2" l="1"/>
  <c r="D26" i="2" s="1"/>
  <c r="G25" i="2" l="1"/>
  <c r="F26" i="2"/>
  <c r="E26" i="2"/>
  <c r="G26" i="2" s="1"/>
  <c r="D27" i="2" l="1"/>
  <c r="F27" i="2" l="1"/>
  <c r="E27" i="2"/>
  <c r="D28" i="2" l="1"/>
  <c r="G27" i="2"/>
  <c r="F28" i="2" l="1"/>
  <c r="E28" i="2"/>
  <c r="G28" i="2" s="1"/>
  <c r="D29" i="2" l="1"/>
  <c r="E29" i="2" s="1"/>
  <c r="F29" i="2" l="1"/>
  <c r="D30" i="2"/>
  <c r="G29" i="2"/>
  <c r="F30" i="2" l="1"/>
  <c r="E30" i="2"/>
  <c r="G30" i="2" s="1"/>
  <c r="D31" i="2" l="1"/>
  <c r="E31" i="2" s="1"/>
  <c r="F31" i="2" l="1"/>
  <c r="D32" i="2"/>
  <c r="G31" i="2"/>
  <c r="F32" i="2" l="1"/>
  <c r="E32" i="2"/>
  <c r="D33" i="2" l="1"/>
  <c r="G32" i="2"/>
  <c r="F33" i="2" l="1"/>
  <c r="E33" i="2"/>
  <c r="G33" i="2" s="1"/>
  <c r="D34" i="2" l="1"/>
  <c r="F34" i="2" s="1"/>
  <c r="E34" i="2" l="1"/>
  <c r="G34" i="2" s="1"/>
  <c r="D35" i="2" l="1"/>
  <c r="F35" i="2" l="1"/>
  <c r="E35" i="2"/>
  <c r="G35" i="2" s="1"/>
  <c r="D36" i="2" l="1"/>
  <c r="E36" i="2" l="1"/>
  <c r="G36" i="2" s="1"/>
  <c r="F36" i="2"/>
  <c r="D37" i="2" l="1"/>
  <c r="E37" i="2" s="1"/>
  <c r="F37" i="2" l="1"/>
  <c r="G37" i="2"/>
  <c r="D38" i="2"/>
  <c r="F38" i="2" l="1"/>
  <c r="E38" i="2"/>
  <c r="G38" i="2" l="1"/>
  <c r="D39" i="2"/>
  <c r="F39" i="2" l="1"/>
  <c r="E39" i="2"/>
  <c r="D40" i="2" l="1"/>
  <c r="G39" i="2"/>
  <c r="F40" i="2" l="1"/>
  <c r="E40" i="2"/>
  <c r="G40" i="2" s="1"/>
  <c r="D41" i="2" l="1"/>
  <c r="E41" i="2" s="1"/>
  <c r="G41" i="2" s="1"/>
  <c r="F41" i="2" l="1"/>
  <c r="D42" i="2"/>
  <c r="E42" i="2" s="1"/>
  <c r="G42" i="2" s="1"/>
  <c r="F42" i="2" l="1"/>
  <c r="D43" i="2"/>
  <c r="E43" i="2" s="1"/>
  <c r="F43" i="2" l="1"/>
  <c r="D44" i="2"/>
  <c r="G43" i="2"/>
  <c r="F44" i="2" l="1"/>
  <c r="E44" i="2"/>
  <c r="G44" i="2" s="1"/>
  <c r="D45" i="2" l="1"/>
  <c r="F45" i="2" l="1"/>
  <c r="E45" i="2"/>
  <c r="D46" i="2" l="1"/>
  <c r="G45" i="2"/>
  <c r="F46" i="2" l="1"/>
  <c r="E46" i="2"/>
  <c r="G46" i="2" s="1"/>
  <c r="D47" i="2" l="1"/>
  <c r="F47" i="2" s="1"/>
  <c r="E47" i="2" l="1"/>
  <c r="D48" i="2" s="1"/>
  <c r="G47" i="2" l="1"/>
  <c r="F48" i="2"/>
  <c r="E48" i="2"/>
  <c r="D49" i="2" l="1"/>
  <c r="G48" i="2"/>
  <c r="F49" i="2" l="1"/>
  <c r="E49" i="2"/>
  <c r="D50" i="2" l="1"/>
  <c r="G49" i="2"/>
  <c r="F50" i="2" l="1"/>
  <c r="O44" i="2" s="1"/>
  <c r="E50" i="2"/>
  <c r="G50" i="2" s="1"/>
  <c r="O54" i="2" l="1"/>
  <c r="O20" i="2"/>
  <c r="O28" i="2"/>
  <c r="O34" i="2"/>
  <c r="O63" i="2"/>
  <c r="D51" i="2"/>
  <c r="F51" i="2" s="1"/>
  <c r="E51" i="2" l="1"/>
  <c r="D52" i="2" s="1"/>
  <c r="G51" i="2" l="1"/>
  <c r="F52" i="2"/>
  <c r="E52" i="2"/>
  <c r="G52" i="2" s="1"/>
  <c r="D53" i="2" l="1"/>
  <c r="F53" i="2" l="1"/>
  <c r="E53" i="2"/>
  <c r="D54" i="2" l="1"/>
  <c r="G53" i="2"/>
  <c r="F54" i="2" l="1"/>
  <c r="E54" i="2"/>
  <c r="G54" i="2" s="1"/>
  <c r="D55" i="2" l="1"/>
  <c r="F55" i="2" l="1"/>
  <c r="E55" i="2"/>
  <c r="D56" i="2" l="1"/>
  <c r="G55" i="2"/>
  <c r="F56" i="2" l="1"/>
  <c r="E56" i="2"/>
  <c r="D57" i="2" l="1"/>
  <c r="G56" i="2"/>
  <c r="F57" i="2" l="1"/>
  <c r="E57" i="2"/>
  <c r="D58" i="2" l="1"/>
  <c r="G57" i="2"/>
  <c r="F58" i="2" l="1"/>
  <c r="E58" i="2"/>
  <c r="G58" i="2" s="1"/>
  <c r="D59" i="2" l="1"/>
  <c r="F59" i="2" s="1"/>
  <c r="E59" i="2" l="1"/>
  <c r="G59" i="2" s="1"/>
  <c r="D60" i="2" l="1"/>
  <c r="F60" i="2" s="1"/>
  <c r="E60" i="2" l="1"/>
  <c r="G60" i="2" s="1"/>
  <c r="D61" i="2" l="1"/>
  <c r="F61" i="2" s="1"/>
  <c r="E61" i="2" l="1"/>
  <c r="D62" i="2" s="1"/>
  <c r="G61" i="2" l="1"/>
  <c r="F62" i="2"/>
  <c r="E62" i="2"/>
  <c r="D63" i="2" l="1"/>
  <c r="G62" i="2"/>
  <c r="F63" i="2" l="1"/>
  <c r="E63" i="2"/>
  <c r="D64" i="2" l="1"/>
  <c r="G63" i="2"/>
  <c r="F64" i="2" l="1"/>
  <c r="E64" i="2"/>
  <c r="D65" i="2" l="1"/>
  <c r="G64" i="2"/>
  <c r="F65" i="2" l="1"/>
  <c r="E65" i="2"/>
  <c r="D66" i="2" l="1"/>
  <c r="G65" i="2"/>
  <c r="F66" i="2" l="1"/>
  <c r="E66" i="2"/>
  <c r="D67" i="2" l="1"/>
  <c r="G66" i="2"/>
  <c r="F67" i="2" l="1"/>
  <c r="E67" i="2"/>
  <c r="D68" i="2" l="1"/>
  <c r="G67" i="2"/>
  <c r="F68" i="2" l="1"/>
  <c r="E68" i="2"/>
  <c r="G68" i="2" s="1"/>
  <c r="D69" i="2" l="1"/>
  <c r="F69" i="2" l="1"/>
  <c r="E69" i="2"/>
  <c r="D70" i="2" l="1"/>
  <c r="G69" i="2"/>
  <c r="F70" i="2" l="1"/>
  <c r="E70" i="2"/>
  <c r="G70" i="2" s="1"/>
  <c r="D71" i="2" l="1"/>
  <c r="F71" i="2" s="1"/>
  <c r="E71" i="2" l="1"/>
  <c r="D72" i="2" s="1"/>
  <c r="G71" i="2" l="1"/>
  <c r="F72" i="2"/>
  <c r="E72" i="2"/>
  <c r="D73" i="2" l="1"/>
  <c r="G72" i="2"/>
  <c r="F73" i="2" l="1"/>
  <c r="E73" i="2"/>
  <c r="D74" i="2" l="1"/>
  <c r="G73" i="2"/>
  <c r="F74" i="2" l="1"/>
  <c r="E74" i="2"/>
  <c r="D75" i="2" l="1"/>
  <c r="G74" i="2"/>
  <c r="F75" i="2" l="1"/>
  <c r="E75" i="2"/>
  <c r="D76" i="2" l="1"/>
  <c r="G75" i="2"/>
  <c r="F76" i="2" l="1"/>
  <c r="E76" i="2"/>
  <c r="D77" i="2" l="1"/>
  <c r="G76" i="2"/>
  <c r="F77" i="2" l="1"/>
  <c r="E77" i="2"/>
  <c r="D78" i="2" l="1"/>
  <c r="G77" i="2"/>
  <c r="F78" i="2" l="1"/>
  <c r="E78" i="2"/>
  <c r="G78" i="2" s="1"/>
  <c r="D79" i="2" l="1"/>
  <c r="F79" i="2" l="1"/>
  <c r="E79" i="2"/>
  <c r="D80" i="2" l="1"/>
  <c r="G79" i="2"/>
  <c r="F80" i="2" l="1"/>
  <c r="E80" i="2"/>
  <c r="D81" i="2" l="1"/>
  <c r="G80" i="2"/>
  <c r="F81" i="2" l="1"/>
  <c r="E81" i="2"/>
  <c r="D82" i="2" l="1"/>
  <c r="G81" i="2"/>
  <c r="F82" i="2" l="1"/>
  <c r="E82" i="2"/>
  <c r="G82" i="2" s="1"/>
  <c r="D83" i="2" l="1"/>
  <c r="F83" i="2" s="1"/>
  <c r="E83" i="2" l="1"/>
  <c r="D84" i="2" s="1"/>
  <c r="G83" i="2" l="1"/>
  <c r="F84" i="2"/>
  <c r="E84" i="2"/>
  <c r="G84" i="2" s="1"/>
  <c r="D85" i="2" l="1"/>
  <c r="F85" i="2" l="1"/>
  <c r="E85" i="2"/>
  <c r="D86" i="2" l="1"/>
  <c r="G85" i="2"/>
  <c r="F86" i="2" l="1"/>
  <c r="E86" i="2"/>
  <c r="G86" i="2" s="1"/>
  <c r="D87" i="2" l="1"/>
  <c r="F87" i="2" l="1"/>
  <c r="E87" i="2"/>
  <c r="D88" i="2" l="1"/>
  <c r="G87" i="2"/>
  <c r="F88" i="2" l="1"/>
  <c r="E88" i="2"/>
  <c r="D89" i="2" l="1"/>
  <c r="G88" i="2"/>
  <c r="F89" i="2" l="1"/>
  <c r="E89" i="2"/>
  <c r="D90" i="2" l="1"/>
  <c r="G89" i="2"/>
  <c r="F90" i="2" l="1"/>
  <c r="E90" i="2"/>
  <c r="G90" i="2" s="1"/>
  <c r="D91" i="2" l="1"/>
  <c r="F91" i="2" s="1"/>
  <c r="E91" i="2" l="1"/>
  <c r="D92" i="2" s="1"/>
  <c r="G91" i="2" l="1"/>
  <c r="F92" i="2"/>
  <c r="E92" i="2"/>
  <c r="G92" i="2" s="1"/>
  <c r="D93" i="2" l="1"/>
  <c r="F93" i="2" l="1"/>
  <c r="E93" i="2"/>
  <c r="D94" i="2" l="1"/>
  <c r="G93" i="2"/>
  <c r="F94" i="2" l="1"/>
  <c r="E94" i="2"/>
  <c r="G94" i="2" s="1"/>
  <c r="D95" i="2" l="1"/>
  <c r="F95" i="2" l="1"/>
  <c r="E95" i="2"/>
  <c r="D96" i="2" l="1"/>
  <c r="G95" i="2"/>
  <c r="F96" i="2" l="1"/>
  <c r="E96" i="2"/>
  <c r="D97" i="2" l="1"/>
  <c r="G96" i="2"/>
  <c r="F97" i="2" l="1"/>
  <c r="E97" i="2"/>
  <c r="D98" i="2" l="1"/>
  <c r="G97" i="2"/>
  <c r="F98" i="2" l="1"/>
  <c r="E98" i="2"/>
  <c r="G98" i="2" s="1"/>
  <c r="D99" i="2" l="1"/>
  <c r="F99" i="2" l="1"/>
  <c r="E99" i="2"/>
  <c r="D100" i="2" l="1"/>
  <c r="G99" i="2"/>
  <c r="F100" i="2" l="1"/>
  <c r="E100" i="2"/>
  <c r="G100" i="2" s="1"/>
  <c r="D101" i="2" l="1"/>
  <c r="F101" i="2" s="1"/>
  <c r="E101" i="2" l="1"/>
  <c r="G101" i="2" s="1"/>
  <c r="D102" i="2" l="1"/>
  <c r="F102" i="2" s="1"/>
  <c r="E102" i="2" l="1"/>
  <c r="G102" i="2" s="1"/>
  <c r="D103" i="2" l="1"/>
  <c r="F103" i="2" s="1"/>
  <c r="E103" i="2" l="1"/>
  <c r="G103" i="2" s="1"/>
  <c r="D104" i="2" l="1"/>
  <c r="F104" i="2" s="1"/>
  <c r="E104" i="2" l="1"/>
  <c r="D105" i="2" s="1"/>
  <c r="G104" i="2" l="1"/>
  <c r="F105" i="2"/>
  <c r="E105" i="2"/>
  <c r="D106" i="2" l="1"/>
  <c r="G105" i="2"/>
  <c r="F106" i="2" l="1"/>
  <c r="E106" i="2"/>
  <c r="G106" i="2" s="1"/>
  <c r="D107" i="2" l="1"/>
  <c r="F107" i="2" s="1"/>
  <c r="E107" i="2" l="1"/>
  <c r="G107" i="2" s="1"/>
  <c r="D108" i="2" l="1"/>
  <c r="E108" i="2" s="1"/>
  <c r="F108" i="2" l="1"/>
  <c r="D109" i="2"/>
  <c r="G108" i="2"/>
  <c r="F109" i="2" l="1"/>
  <c r="E109" i="2"/>
  <c r="D110" i="2" l="1"/>
  <c r="G109" i="2"/>
  <c r="F110" i="2" l="1"/>
  <c r="E110" i="2"/>
  <c r="G110" i="2" s="1"/>
  <c r="D111" i="2" l="1"/>
  <c r="F111" i="2" s="1"/>
  <c r="E111" i="2" l="1"/>
  <c r="D112" i="2" s="1"/>
  <c r="G111" i="2" l="1"/>
  <c r="F112" i="2"/>
  <c r="E112" i="2"/>
  <c r="D113" i="2" l="1"/>
  <c r="G112" i="2"/>
  <c r="F113" i="2" l="1"/>
  <c r="E113" i="2"/>
  <c r="D114" i="2" l="1"/>
  <c r="G113" i="2"/>
  <c r="F114" i="2" l="1"/>
  <c r="E114" i="2"/>
  <c r="G114" i="2" s="1"/>
  <c r="D115" i="2" l="1"/>
  <c r="E115" i="2" l="1"/>
  <c r="G115" i="2" s="1"/>
  <c r="F115" i="2"/>
  <c r="D116" i="2" l="1"/>
  <c r="E116" i="2" l="1"/>
  <c r="G116" i="2" s="1"/>
  <c r="F116" i="2"/>
  <c r="D117" i="2" l="1"/>
  <c r="F117" i="2" l="1"/>
  <c r="E117" i="2"/>
  <c r="G117" i="2" s="1"/>
  <c r="D118" i="2" l="1"/>
  <c r="E118" i="2" l="1"/>
  <c r="G118" i="2" s="1"/>
  <c r="F118" i="2"/>
  <c r="H20" i="2" l="1"/>
  <c r="O35" i="2"/>
  <c r="Q34" i="2" s="1"/>
  <c r="O45" i="2"/>
  <c r="I20" i="2"/>
  <c r="I21" i="2"/>
  <c r="H22" i="2"/>
  <c r="H24" i="2"/>
  <c r="H29" i="2"/>
  <c r="H32" i="2"/>
  <c r="H37" i="2"/>
  <c r="H40" i="2"/>
  <c r="H44" i="2"/>
  <c r="H48" i="2"/>
  <c r="H52" i="2"/>
  <c r="H55" i="2"/>
  <c r="H60" i="2"/>
  <c r="H64" i="2"/>
  <c r="H68" i="2"/>
  <c r="H72" i="2"/>
  <c r="H76" i="2"/>
  <c r="H80" i="2"/>
  <c r="H84" i="2"/>
  <c r="H88" i="2"/>
  <c r="H92" i="2"/>
  <c r="H96" i="2"/>
  <c r="H101" i="2"/>
  <c r="H103" i="2"/>
  <c r="H108" i="2"/>
  <c r="H112" i="2"/>
  <c r="H114" i="2"/>
  <c r="H21" i="2"/>
  <c r="H25" i="2"/>
  <c r="H31" i="2"/>
  <c r="H33" i="2"/>
  <c r="H39" i="2"/>
  <c r="H41" i="2"/>
  <c r="H47" i="2"/>
  <c r="H50" i="2"/>
  <c r="H53" i="2"/>
  <c r="H57" i="2"/>
  <c r="H61" i="2"/>
  <c r="H65" i="2"/>
  <c r="H69" i="2"/>
  <c r="H73" i="2"/>
  <c r="H77" i="2"/>
  <c r="H81" i="2"/>
  <c r="H85" i="2"/>
  <c r="H89" i="2"/>
  <c r="H93" i="2"/>
  <c r="H98" i="2"/>
  <c r="H100" i="2"/>
  <c r="H105" i="2"/>
  <c r="H109" i="2"/>
  <c r="H115" i="2"/>
  <c r="H117" i="2"/>
  <c r="H42" i="2"/>
  <c r="H51" i="2"/>
  <c r="H66" i="2"/>
  <c r="H74" i="2"/>
  <c r="H82" i="2"/>
  <c r="H86" i="2"/>
  <c r="H94" i="2"/>
  <c r="H102" i="2"/>
  <c r="H107" i="2"/>
  <c r="H116" i="2"/>
  <c r="H79" i="2"/>
  <c r="H90" i="2"/>
  <c r="H104" i="2"/>
  <c r="H113" i="2"/>
  <c r="H26" i="2"/>
  <c r="H28" i="2"/>
  <c r="H34" i="2"/>
  <c r="H36" i="2"/>
  <c r="H45" i="2"/>
  <c r="O47" i="2" s="1"/>
  <c r="H54" i="2"/>
  <c r="H59" i="2"/>
  <c r="H62" i="2"/>
  <c r="H71" i="2"/>
  <c r="H78" i="2"/>
  <c r="H91" i="2"/>
  <c r="H97" i="2"/>
  <c r="H111" i="2"/>
  <c r="H83" i="2"/>
  <c r="H95" i="2"/>
  <c r="H106" i="2"/>
  <c r="H118" i="2"/>
  <c r="H23" i="2"/>
  <c r="H27" i="2"/>
  <c r="H30" i="2"/>
  <c r="H35" i="2"/>
  <c r="H38" i="2"/>
  <c r="H43" i="2"/>
  <c r="H46" i="2"/>
  <c r="H49" i="2"/>
  <c r="H56" i="2"/>
  <c r="H58" i="2"/>
  <c r="H63" i="2"/>
  <c r="H67" i="2"/>
  <c r="H70" i="2"/>
  <c r="H75" i="2"/>
  <c r="H87" i="2"/>
  <c r="H99" i="2"/>
  <c r="H110" i="2"/>
  <c r="I114" i="2"/>
  <c r="I118" i="2"/>
  <c r="I23" i="2"/>
  <c r="I27" i="2"/>
  <c r="I29" i="2"/>
  <c r="I35" i="2"/>
  <c r="I39" i="2"/>
  <c r="I43" i="2"/>
  <c r="I47" i="2"/>
  <c r="I52" i="2"/>
  <c r="I55" i="2"/>
  <c r="I60" i="2"/>
  <c r="I63" i="2"/>
  <c r="I67" i="2"/>
  <c r="I71" i="2"/>
  <c r="I75" i="2"/>
  <c r="I79" i="2"/>
  <c r="I84" i="2"/>
  <c r="I88" i="2"/>
  <c r="I91" i="2"/>
  <c r="I95" i="2"/>
  <c r="I99" i="2"/>
  <c r="I103" i="2"/>
  <c r="I107" i="2"/>
  <c r="I111" i="2"/>
  <c r="I64" i="2"/>
  <c r="I68" i="2"/>
  <c r="I72" i="2"/>
  <c r="I76" i="2"/>
  <c r="I80" i="2"/>
  <c r="I83" i="2"/>
  <c r="I87" i="2"/>
  <c r="I92" i="2"/>
  <c r="I96" i="2"/>
  <c r="I100" i="2"/>
  <c r="I104" i="2"/>
  <c r="I108" i="2"/>
  <c r="I112" i="2"/>
  <c r="I24" i="2"/>
  <c r="I28" i="2"/>
  <c r="I33" i="2"/>
  <c r="I34" i="2"/>
  <c r="I40" i="2"/>
  <c r="I44" i="2"/>
  <c r="O42" i="2" s="1"/>
  <c r="I48" i="2"/>
  <c r="I51" i="2"/>
  <c r="I56" i="2"/>
  <c r="I59" i="2"/>
  <c r="I25" i="2"/>
  <c r="I31" i="2"/>
  <c r="I32" i="2"/>
  <c r="I38" i="2"/>
  <c r="I41" i="2"/>
  <c r="I46" i="2"/>
  <c r="I50" i="2"/>
  <c r="I54" i="2"/>
  <c r="I57" i="2"/>
  <c r="I61" i="2"/>
  <c r="I65" i="2"/>
  <c r="I70" i="2"/>
  <c r="I73" i="2"/>
  <c r="I78" i="2"/>
  <c r="I82" i="2"/>
  <c r="I85" i="2"/>
  <c r="I89" i="2"/>
  <c r="I93" i="2"/>
  <c r="I97" i="2"/>
  <c r="I102" i="2"/>
  <c r="I105" i="2"/>
  <c r="I109" i="2"/>
  <c r="I116" i="2"/>
  <c r="I115" i="2"/>
  <c r="I117" i="2"/>
  <c r="I113" i="2"/>
  <c r="I22" i="2"/>
  <c r="I26" i="2"/>
  <c r="I30" i="2"/>
  <c r="I36" i="2"/>
  <c r="I37" i="2"/>
  <c r="I42" i="2"/>
  <c r="I45" i="2"/>
  <c r="I49" i="2"/>
  <c r="I53" i="2"/>
  <c r="I58" i="2"/>
  <c r="I62" i="2"/>
  <c r="I66" i="2"/>
  <c r="I69" i="2"/>
  <c r="I74" i="2"/>
  <c r="I77" i="2"/>
  <c r="I81" i="2"/>
  <c r="I86" i="2"/>
  <c r="I90" i="2"/>
  <c r="I94" i="2"/>
  <c r="I98" i="2"/>
  <c r="I101" i="2"/>
  <c r="I106" i="2"/>
  <c r="I110" i="2"/>
  <c r="O38" i="2" l="1"/>
  <c r="O61" i="2"/>
  <c r="O27" i="2"/>
  <c r="O43" i="2"/>
  <c r="O36" i="2"/>
  <c r="O59" i="2"/>
  <c r="O46" i="2"/>
  <c r="O19" i="2"/>
  <c r="O26" i="2"/>
  <c r="O62" i="2"/>
  <c r="O51" i="2"/>
  <c r="O53" i="2"/>
  <c r="O60" i="2"/>
  <c r="O52" i="2"/>
  <c r="O21" i="2"/>
  <c r="O29" i="2"/>
  <c r="O30" i="2"/>
  <c r="O37" i="2"/>
  <c r="Q35" i="2" s="1"/>
  <c r="Q36" i="2" s="1"/>
  <c r="O22" i="2"/>
  <c r="Q42" i="2" l="1"/>
  <c r="Q43" i="2"/>
  <c r="Q44" i="2" s="1"/>
  <c r="O8" i="2" s="1"/>
  <c r="Q59" i="2"/>
  <c r="Q60" i="2"/>
  <c r="Q61" i="2" s="1"/>
  <c r="O10" i="2" s="1"/>
  <c r="Q26" i="2"/>
  <c r="Q52" i="2"/>
  <c r="Q53" i="2" s="1"/>
  <c r="O9" i="2" s="1"/>
  <c r="Q27" i="2"/>
  <c r="Q28" i="2" s="1"/>
  <c r="O6" i="2" s="1"/>
  <c r="Q20" i="2"/>
  <c r="Q19" i="2"/>
  <c r="Q51" i="2"/>
  <c r="O7" i="2"/>
  <c r="L13" i="2" l="1"/>
  <c r="Q21" i="2"/>
  <c r="O5" i="2" s="1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<sst xmlns="http://schemas.openxmlformats.org/spreadsheetml/2006/main" count="113" uniqueCount="46">
  <si>
    <t>Age, x</t>
  </si>
  <si>
    <t>Mort rate, qx</t>
  </si>
  <si>
    <t>px</t>
  </si>
  <si>
    <t>lx</t>
  </si>
  <si>
    <t>dx</t>
  </si>
  <si>
    <t>Dx</t>
  </si>
  <si>
    <t>Cx</t>
  </si>
  <si>
    <t>Nx</t>
  </si>
  <si>
    <t>Mx</t>
  </si>
  <si>
    <t>Interest rate</t>
  </si>
  <si>
    <t>Discount fac, v</t>
  </si>
  <si>
    <t>Radix, l0</t>
  </si>
  <si>
    <t>Age</t>
  </si>
  <si>
    <t>Term</t>
  </si>
  <si>
    <t>Gender</t>
  </si>
  <si>
    <t>Male</t>
  </si>
  <si>
    <t>Whole Life Insurance</t>
  </si>
  <si>
    <t>Deferred Term</t>
  </si>
  <si>
    <t>NAP</t>
  </si>
  <si>
    <t>Survival Benefit</t>
  </si>
  <si>
    <t>Death Benefit</t>
  </si>
  <si>
    <t>Premium Payable</t>
  </si>
  <si>
    <t>Deferred Term (k)</t>
  </si>
  <si>
    <t>Term (n)</t>
  </si>
  <si>
    <t>Nx+k</t>
  </si>
  <si>
    <t>Premium Payable (h)</t>
  </si>
  <si>
    <t>NSP*</t>
  </si>
  <si>
    <t>NAP*</t>
  </si>
  <si>
    <t xml:space="preserve">Benefit </t>
  </si>
  <si>
    <t>Nx+h</t>
  </si>
  <si>
    <t>Term Life Insurance</t>
  </si>
  <si>
    <t>Pure Endowment Insurance</t>
  </si>
  <si>
    <t xml:space="preserve"> Endowment Insurance</t>
  </si>
  <si>
    <t>Nx+n+k</t>
  </si>
  <si>
    <t xml:space="preserve"> Whole Life Annuity</t>
  </si>
  <si>
    <t>Product</t>
  </si>
  <si>
    <t>Whole Life Annuity</t>
  </si>
  <si>
    <t>Term Life Annuity</t>
  </si>
  <si>
    <t>Net Annual Premium</t>
  </si>
  <si>
    <t xml:space="preserve">  Term Life Annuity</t>
  </si>
  <si>
    <t>Endowment Insurance</t>
  </si>
  <si>
    <t>Mx+k</t>
  </si>
  <si>
    <t>Nx+k+n</t>
  </si>
  <si>
    <t>Dx+n+k</t>
  </si>
  <si>
    <t>Mx+k+n</t>
  </si>
  <si>
    <t>Dx+k+n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</si>
</sst>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0000"/>
    <numFmt numFmtId="166" formatCode="&quot;RM&quot;#,##0.00"/>
    <numFmt numFmtId="167" formatCode="_-[$RM-4409]* #,##0.00_-;\-[$RM-4409]* #,##0.00_-;_-[$RM-4409]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i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33E87"/>
        <bgColor indexed="64"/>
      </patternFill>
    </fill>
    <fill>
      <patternFill patternType="solid">
        <fgColor rgb="FFCBDCEB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6" xfId="0" applyFill="1" applyBorder="1"/>
    <xf numFmtId="0" fontId="0" fillId="2" borderId="26" xfId="0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/>
    </xf>
    <xf numFmtId="0" fontId="0" fillId="0" borderId="22" xfId="0" applyBorder="1"/>
    <xf numFmtId="0" fontId="0" fillId="2" borderId="27" xfId="0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22" xfId="0" applyFont="1" applyFill="1" applyBorder="1"/>
    <xf numFmtId="0" fontId="0" fillId="2" borderId="1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165" fontId="8" fillId="3" borderId="4" xfId="0" applyNumberFormat="1" applyFont="1" applyFill="1" applyBorder="1" applyAlignment="1">
      <alignment horizontal="center"/>
    </xf>
    <xf numFmtId="165" fontId="8" fillId="3" borderId="1" xfId="0" applyNumberFormat="1" applyFont="1" applyFill="1" applyBorder="1" applyAlignment="1">
      <alignment horizontal="center"/>
    </xf>
    <xf numFmtId="165" fontId="8" fillId="3" borderId="3" xfId="0" applyNumberFormat="1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 vertical="center"/>
    </xf>
    <xf numFmtId="0" fontId="3" fillId="4" borderId="9" xfId="1" applyNumberFormat="1" applyFont="1" applyFill="1" applyBorder="1" applyAlignment="1">
      <alignment horizontal="center" vertical="top"/>
    </xf>
    <xf numFmtId="9" fontId="3" fillId="4" borderId="10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165" fontId="0" fillId="4" borderId="12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165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5" fontId="0" fillId="4" borderId="20" xfId="0" applyNumberForma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3" fillId="4" borderId="2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26" xfId="0" applyFill="1" applyBorder="1"/>
    <xf numFmtId="0" fontId="3" fillId="4" borderId="26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2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0" fillId="2" borderId="28" xfId="0" applyFill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67" fontId="0" fillId="2" borderId="18" xfId="2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/>
    </xf>
    <xf numFmtId="0" fontId="0" fillId="2" borderId="22" xfId="0" applyFill="1" applyBorder="1"/>
    <xf numFmtId="0" fontId="0" fillId="0" borderId="24" xfId="0" applyBorder="1" applyAlignment="1">
      <alignment horizontal="center"/>
    </xf>
    <xf numFmtId="167" fontId="0" fillId="0" borderId="18" xfId="2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167" fontId="0" fillId="0" borderId="22" xfId="2" applyNumberFormat="1" applyFont="1" applyFill="1" applyBorder="1" applyAlignment="1">
      <alignment horizontal="center" vertical="center"/>
    </xf>
    <xf numFmtId="0" fontId="3" fillId="2" borderId="18" xfId="0" applyFont="1" applyFill="1" applyBorder="1"/>
    <xf numFmtId="0" fontId="3" fillId="2" borderId="22" xfId="0" applyFont="1" applyFill="1" applyBorder="1"/>
    <xf numFmtId="0" fontId="0" fillId="2" borderId="0" xfId="0" applyFill="1"/>
    <xf numFmtId="0" fontId="0" fillId="0" borderId="18" xfId="0" applyBorder="1"/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67" fontId="3" fillId="2" borderId="18" xfId="2" applyNumberFormat="1" applyFont="1" applyFill="1" applyBorder="1" applyAlignment="1">
      <alignment horizontal="center" vertical="center"/>
    </xf>
    <xf numFmtId="167" fontId="3" fillId="2" borderId="22" xfId="2" applyNumberFormat="1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CBDCEB"/>
      <color rgb="FF133E87"/>
      <color rgb="FFF3F3E0"/>
      <color rgb="FFF0C1E1"/>
      <color rgb="FFC18BED"/>
      <color rgb="FFCB9DF0"/>
      <color rgb="FFE4CDF7"/>
      <color rgb="FFD2ACF2"/>
      <color rgb="FFE6EC70"/>
      <color rgb="FFEA7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7C54-DD37-4610-9359-743C5FC800BF}">
  <sheetPr codeName="Sheet2"/>
  <dimension ref="A2:R118"/>
  <sheetViews>
    <sheetView tabSelected="1" zoomScale="93" zoomScaleNormal="85" workbookViewId="0">
      <selection activeCell="I21" sqref="I21"/>
    </sheetView>
  </sheetViews>
  <sheetFormatPr defaultRowHeight="14.4" x14ac:dyDescent="0.3"/>
  <cols>
    <col min="1" max="1" width="8.88671875" style="1"/>
    <col min="2" max="2" width="19" style="1" bestFit="1" customWidth="1"/>
    <col min="3" max="3" width="17.21875" style="1" bestFit="1" customWidth="1"/>
    <col min="4" max="4" width="12.33203125" style="1" bestFit="1" customWidth="1"/>
    <col min="5" max="5" width="17.21875" style="1" bestFit="1" customWidth="1"/>
    <col min="6" max="6" width="19.33203125" style="1" bestFit="1" customWidth="1"/>
    <col min="7" max="9" width="12.33203125" style="1" bestFit="1" customWidth="1"/>
    <col min="11" max="11" width="29.6640625" style="63" bestFit="1" customWidth="1"/>
    <col min="12" max="12" width="25.88671875" bestFit="1" customWidth="1"/>
    <col min="13" max="13" width="7.109375" bestFit="1" customWidth="1"/>
    <col min="14" max="14" width="28.33203125" bestFit="1" customWidth="1"/>
    <col min="15" max="15" width="19.33203125" style="1" bestFit="1" customWidth="1"/>
    <col min="16" max="16" width="5.6640625" bestFit="1" customWidth="1"/>
    <col min="17" max="17" width="13.6640625" bestFit="1" customWidth="1"/>
    <col min="18" max="18" width="5.44140625" bestFit="1" customWidth="1"/>
    <col min="20" max="20" width="23.5546875" bestFit="1" customWidth="1"/>
  </cols>
  <sheetData>
    <row r="2" spans="2:15" ht="15" thickBot="1" x14ac:dyDescent="0.35"/>
    <row r="3" spans="2:15" ht="15" thickBot="1" x14ac:dyDescent="0.35">
      <c r="K3" s="64" t="s">
        <v>35</v>
      </c>
      <c r="L3" s="58" t="s">
        <v>16</v>
      </c>
    </row>
    <row r="4" spans="2:15" x14ac:dyDescent="0.3">
      <c r="K4" s="65" t="s">
        <v>12</v>
      </c>
      <c r="L4" s="16">
        <v>27</v>
      </c>
      <c r="N4" s="55" t="s">
        <v>35</v>
      </c>
      <c r="O4" s="54" t="s">
        <v>38</v>
      </c>
    </row>
    <row r="5" spans="2:15" x14ac:dyDescent="0.3">
      <c r="K5" s="65" t="s">
        <v>14</v>
      </c>
      <c r="L5" s="16" t="s">
        <v>15</v>
      </c>
      <c r="N5" s="60" t="s">
        <v>16</v>
      </c>
      <c r="O5" s="61">
        <f>Q21</f>
        <v>1432.1297889397993</v>
      </c>
    </row>
    <row r="6" spans="2:15" x14ac:dyDescent="0.3">
      <c r="K6" s="65" t="s">
        <v>19</v>
      </c>
      <c r="L6" s="59">
        <v>10000</v>
      </c>
      <c r="M6" s="1"/>
      <c r="N6" s="72" t="s">
        <v>30</v>
      </c>
      <c r="O6" s="73">
        <f>Q28</f>
        <v>1428.6425957439428</v>
      </c>
    </row>
    <row r="7" spans="2:15" x14ac:dyDescent="0.3">
      <c r="K7" s="65" t="s">
        <v>20</v>
      </c>
      <c r="L7" s="59">
        <v>10000</v>
      </c>
      <c r="M7" s="1"/>
      <c r="N7" s="60" t="s">
        <v>31</v>
      </c>
      <c r="O7" s="61">
        <f>Q36</f>
        <v>10.194178445274629</v>
      </c>
    </row>
    <row r="8" spans="2:15" x14ac:dyDescent="0.3">
      <c r="K8" s="65" t="s">
        <v>23</v>
      </c>
      <c r="L8" s="16">
        <v>67</v>
      </c>
      <c r="M8" s="1"/>
      <c r="N8" s="72" t="s">
        <v>40</v>
      </c>
      <c r="O8" s="73">
        <f>Q44</f>
        <v>2877.673548378435</v>
      </c>
    </row>
    <row r="9" spans="2:15" x14ac:dyDescent="0.3">
      <c r="K9" s="65" t="s">
        <v>22</v>
      </c>
      <c r="L9" s="16">
        <v>4</v>
      </c>
      <c r="M9" s="1"/>
      <c r="N9" s="60" t="s">
        <v>36</v>
      </c>
      <c r="O9" s="61">
        <f>Q53</f>
        <v>184152.48637913927</v>
      </c>
    </row>
    <row r="10" spans="2:15" ht="15" thickBot="1" x14ac:dyDescent="0.35">
      <c r="K10" s="66" t="s">
        <v>25</v>
      </c>
      <c r="L10" s="17">
        <v>1</v>
      </c>
      <c r="M10" s="1"/>
      <c r="N10" s="74" t="s">
        <v>37</v>
      </c>
      <c r="O10" s="75">
        <f>Q61</f>
        <v>184142.29220069398</v>
      </c>
    </row>
    <row r="11" spans="2:15" ht="15" thickBot="1" x14ac:dyDescent="0.35">
      <c r="M11" s="1"/>
      <c r="N11" s="1"/>
    </row>
    <row r="12" spans="2:15" x14ac:dyDescent="0.3">
      <c r="K12" s="67" t="s">
        <v>35</v>
      </c>
      <c r="L12" s="54" t="s">
        <v>38</v>
      </c>
      <c r="M12" s="1"/>
      <c r="N12" s="1"/>
    </row>
    <row r="13" spans="2:15" ht="15" thickBot="1" x14ac:dyDescent="0.35">
      <c r="K13" s="83" t="str">
        <f>L$3</f>
        <v>Whole Life Insurance</v>
      </c>
      <c r="L13" s="85">
        <f>VLOOKUP(K13,N4:O10,2,FALSE)</f>
        <v>1432.1297889397993</v>
      </c>
      <c r="M13" s="1"/>
      <c r="N13" s="1"/>
    </row>
    <row r="14" spans="2:15" ht="15" thickBot="1" x14ac:dyDescent="0.35">
      <c r="B14" s="18" t="s">
        <v>11</v>
      </c>
      <c r="C14" s="28">
        <v>3000</v>
      </c>
      <c r="K14" s="84"/>
      <c r="L14" s="86"/>
      <c r="N14" s="56"/>
      <c r="O14" s="57"/>
    </row>
    <row r="15" spans="2:15" x14ac:dyDescent="0.3">
      <c r="B15" s="19" t="s">
        <v>9</v>
      </c>
      <c r="C15" s="29">
        <v>0.04</v>
      </c>
    </row>
    <row r="16" spans="2:15" ht="15" thickBot="1" x14ac:dyDescent="0.35">
      <c r="B16" s="20" t="s">
        <v>10</v>
      </c>
      <c r="C16" s="30">
        <f>1/(1+C15)</f>
        <v>0.96153846153846145</v>
      </c>
    </row>
    <row r="17" spans="1:18" s="1" customFormat="1" x14ac:dyDescent="0.3">
      <c r="K17" s="2"/>
      <c r="M17" s="3"/>
      <c r="N17" s="3"/>
      <c r="O17" s="3"/>
    </row>
    <row r="18" spans="1:18" ht="15" thickBot="1" x14ac:dyDescent="0.35"/>
    <row r="19" spans="1:18" ht="15" thickBot="1" x14ac:dyDescent="0.35">
      <c r="A19" s="21" t="s">
        <v>0</v>
      </c>
      <c r="B19" s="22" t="s">
        <v>1</v>
      </c>
      <c r="C19" s="22" t="s">
        <v>2</v>
      </c>
      <c r="D19" s="22" t="s">
        <v>3</v>
      </c>
      <c r="E19" s="22" t="s">
        <v>4</v>
      </c>
      <c r="F19" s="22" t="s">
        <v>5</v>
      </c>
      <c r="G19" s="22" t="s">
        <v>6</v>
      </c>
      <c r="H19" s="22" t="s">
        <v>7</v>
      </c>
      <c r="I19" s="23" t="s">
        <v>8</v>
      </c>
      <c r="K19" s="80" t="s">
        <v>16</v>
      </c>
      <c r="L19" s="10" t="s">
        <v>12</v>
      </c>
      <c r="M19" s="44">
        <f>L$4</f>
        <v>27</v>
      </c>
      <c r="N19" s="10" t="s">
        <v>41</v>
      </c>
      <c r="O19" s="44">
        <f>IF(L$5="Male",VLOOKUP(M19+M21,A$19:I$118,9,FALSE),VLOOKUP(M19+M21-3,A$19:I$118,9,FALSE))</f>
        <v>147.49336338167998</v>
      </c>
      <c r="P19" s="10" t="s">
        <v>26</v>
      </c>
      <c r="Q19" s="48">
        <f>O19/O20</f>
        <v>0.14321297889397883</v>
      </c>
    </row>
    <row r="20" spans="1:18" x14ac:dyDescent="0.3">
      <c r="A20" s="31">
        <v>0</v>
      </c>
      <c r="B20" s="24">
        <v>1.3999999999999999E-4</v>
      </c>
      <c r="C20" s="33">
        <f>1-B20</f>
        <v>0.99985999999999997</v>
      </c>
      <c r="D20" s="34">
        <f>C14</f>
        <v>3000</v>
      </c>
      <c r="E20" s="34">
        <f>D20*B20</f>
        <v>0.42</v>
      </c>
      <c r="F20" s="34">
        <f t="shared" ref="F20:F51" si="0">D20*(C$16^A20)</f>
        <v>3000</v>
      </c>
      <c r="G20" s="35">
        <f t="shared" ref="G20:G51" si="1">E20*(C$16^(A20+1))</f>
        <v>0.4038461538461538</v>
      </c>
      <c r="H20" s="34">
        <f>SUM(F20:F$118)</f>
        <v>73675.897169564341</v>
      </c>
      <c r="I20" s="36">
        <f>SUM(G20:G$118)</f>
        <v>165.66128304642314</v>
      </c>
      <c r="K20" s="81"/>
      <c r="L20" s="4" t="s">
        <v>21</v>
      </c>
      <c r="M20" s="45">
        <f>L10</f>
        <v>1</v>
      </c>
      <c r="N20" s="4" t="s">
        <v>5</v>
      </c>
      <c r="O20" s="45">
        <f>IF(L$5="Male",VLOOKUP(M19,A$19:I$118,6,FALSE),VLOOKUP(M19-3,A$19:I$118,6,FALSE))</f>
        <v>1029.8882442133261</v>
      </c>
      <c r="P20" s="4" t="s">
        <v>27</v>
      </c>
      <c r="Q20" s="49">
        <f xml:space="preserve"> O19/(O21-O22)</f>
        <v>0.14321297889397994</v>
      </c>
    </row>
    <row r="21" spans="1:18" x14ac:dyDescent="0.3">
      <c r="A21" s="31" cm="1">
        <f t="array" ref="A21:A118">_xlfn.SEQUENCE(98)</f>
        <v>1</v>
      </c>
      <c r="B21" s="25">
        <v>1.3999999999999999E-4</v>
      </c>
      <c r="C21" s="37">
        <f t="shared" ref="C21:C84" si="2">1-B21</f>
        <v>0.99985999999999997</v>
      </c>
      <c r="D21" s="38">
        <f>D20-E20</f>
        <v>2999.58</v>
      </c>
      <c r="E21" s="38">
        <f t="shared" ref="E21:E84" si="3">D21*B21</f>
        <v>0.41994119999999996</v>
      </c>
      <c r="F21" s="38">
        <f t="shared" si="0"/>
        <v>2884.2115384615381</v>
      </c>
      <c r="G21" s="39">
        <f t="shared" si="1"/>
        <v>0.38825924556213004</v>
      </c>
      <c r="H21" s="38">
        <f>SUM(F21:F$118)</f>
        <v>70675.897169564312</v>
      </c>
      <c r="I21" s="36">
        <f>SUM(G21:G$118)</f>
        <v>165.25743689257698</v>
      </c>
      <c r="K21" s="81"/>
      <c r="L21" s="5" t="s">
        <v>17</v>
      </c>
      <c r="M21" s="50">
        <f>L$9</f>
        <v>4</v>
      </c>
      <c r="N21" s="4" t="s">
        <v>7</v>
      </c>
      <c r="O21" s="45">
        <f>IF(L$5="Male",VLOOKUP(M19,A$19:I$118,8,FALSE),VLOOKUP(M19-3,A$19:I$118,8,FALSE))</f>
        <v>22849.286561352208</v>
      </c>
      <c r="P21" s="4" t="s">
        <v>18</v>
      </c>
      <c r="Q21" s="27">
        <f>M22*Q20</f>
        <v>1432.1297889397993</v>
      </c>
    </row>
    <row r="22" spans="1:18" ht="15" thickBot="1" x14ac:dyDescent="0.35">
      <c r="A22" s="31">
        <v>2</v>
      </c>
      <c r="B22" s="25">
        <v>1.3999999999999999E-4</v>
      </c>
      <c r="C22" s="37">
        <f t="shared" si="2"/>
        <v>0.99985999999999997</v>
      </c>
      <c r="D22" s="38">
        <f t="shared" ref="D22:D85" si="4">D21-E21</f>
        <v>2999.1600588000001</v>
      </c>
      <c r="E22" s="38">
        <f t="shared" si="3"/>
        <v>0.41988240823199996</v>
      </c>
      <c r="F22" s="38">
        <f t="shared" si="0"/>
        <v>2772.8920661982243</v>
      </c>
      <c r="G22" s="39">
        <f t="shared" si="1"/>
        <v>0.37327393198822245</v>
      </c>
      <c r="H22" s="38">
        <f>SUM(F22:F$118)</f>
        <v>67791.685631102795</v>
      </c>
      <c r="I22" s="36">
        <f>SUM(G22:G$118)</f>
        <v>164.86917764701485</v>
      </c>
      <c r="K22" s="82"/>
      <c r="L22" s="11" t="s">
        <v>28</v>
      </c>
      <c r="M22" s="68">
        <f>L7</f>
        <v>10000</v>
      </c>
      <c r="N22" s="11" t="s">
        <v>29</v>
      </c>
      <c r="O22" s="47">
        <f>IF(L$5="Male",VLOOKUP(M19+M20,A$19:I$118,8,FALSE),VLOOKUP(M19+M20-3,A$19:I$118,8,FALSE))</f>
        <v>21819.39831713889</v>
      </c>
      <c r="P22" s="6"/>
      <c r="Q22" s="12"/>
    </row>
    <row r="23" spans="1:18" x14ac:dyDescent="0.3">
      <c r="A23" s="31">
        <v>3</v>
      </c>
      <c r="B23" s="25">
        <v>1.3999999999999999E-4</v>
      </c>
      <c r="C23" s="37">
        <f t="shared" si="2"/>
        <v>0.99985999999999997</v>
      </c>
      <c r="D23" s="38">
        <f t="shared" si="4"/>
        <v>2998.7401763917683</v>
      </c>
      <c r="E23" s="38">
        <f t="shared" si="3"/>
        <v>0.41982362469484752</v>
      </c>
      <c r="F23" s="38">
        <f t="shared" si="0"/>
        <v>2665.8690974124584</v>
      </c>
      <c r="G23" s="39">
        <f t="shared" si="1"/>
        <v>0.35886699388244619</v>
      </c>
      <c r="H23" s="38">
        <f>SUM(F23:F$118)</f>
        <v>65018.793564904605</v>
      </c>
      <c r="I23" s="36">
        <f>SUM(G23:G$118)</f>
        <v>164.49590371502663</v>
      </c>
      <c r="K23" s="62"/>
    </row>
    <row r="24" spans="1:18" x14ac:dyDescent="0.3">
      <c r="A24" s="31">
        <v>4</v>
      </c>
      <c r="B24" s="25">
        <v>1.3999999999999999E-4</v>
      </c>
      <c r="C24" s="37">
        <f t="shared" si="2"/>
        <v>0.99985999999999997</v>
      </c>
      <c r="D24" s="38">
        <f t="shared" si="4"/>
        <v>2998.3203527670735</v>
      </c>
      <c r="E24" s="38">
        <f t="shared" si="3"/>
        <v>0.41976484938739023</v>
      </c>
      <c r="F24" s="38">
        <f t="shared" si="0"/>
        <v>2562.9768035950192</v>
      </c>
      <c r="G24" s="39">
        <f t="shared" si="1"/>
        <v>0.3450161081762525</v>
      </c>
      <c r="H24" s="38">
        <f>SUM(F24:F$118)</f>
        <v>62352.924467492143</v>
      </c>
      <c r="I24" s="36">
        <f>SUM(G24:G$118)</f>
        <v>164.1370367211442</v>
      </c>
    </row>
    <row r="25" spans="1:18" ht="15" thickBot="1" x14ac:dyDescent="0.35">
      <c r="A25" s="31">
        <v>5</v>
      </c>
      <c r="B25" s="25">
        <v>1.2999999999999999E-4</v>
      </c>
      <c r="C25" s="37">
        <f t="shared" si="2"/>
        <v>0.99987000000000004</v>
      </c>
      <c r="D25" s="38">
        <f t="shared" si="4"/>
        <v>2997.9005879176862</v>
      </c>
      <c r="E25" s="38">
        <f t="shared" si="3"/>
        <v>0.38972707642929916</v>
      </c>
      <c r="F25" s="38">
        <f t="shared" si="0"/>
        <v>2464.055756579342</v>
      </c>
      <c r="G25" s="39">
        <f t="shared" si="1"/>
        <v>0.30800696957241769</v>
      </c>
      <c r="H25" s="38">
        <f>SUM(F25:F$118)</f>
        <v>59789.947663897117</v>
      </c>
      <c r="I25" s="36">
        <f>SUM(G25:G$118)</f>
        <v>163.79202061296795</v>
      </c>
    </row>
    <row r="26" spans="1:18" x14ac:dyDescent="0.3">
      <c r="A26" s="31">
        <v>6</v>
      </c>
      <c r="B26" s="25">
        <v>1.3999999999999999E-4</v>
      </c>
      <c r="C26" s="37">
        <f t="shared" si="2"/>
        <v>0.99985999999999997</v>
      </c>
      <c r="D26" s="38">
        <f t="shared" si="4"/>
        <v>2997.510860841257</v>
      </c>
      <c r="E26" s="38">
        <f t="shared" si="3"/>
        <v>0.41965152051777593</v>
      </c>
      <c r="F26" s="38">
        <f t="shared" si="0"/>
        <v>2368.9763743567178</v>
      </c>
      <c r="G26" s="39">
        <f t="shared" si="1"/>
        <v>0.31890066577878889</v>
      </c>
      <c r="H26" s="38">
        <f>SUM(F26:F$118)</f>
        <v>57325.891907317775</v>
      </c>
      <c r="I26" s="36">
        <f>SUM(G26:G$118)</f>
        <v>163.48401364339551</v>
      </c>
      <c r="K26" s="80" t="s">
        <v>30</v>
      </c>
      <c r="L26" s="10" t="s">
        <v>12</v>
      </c>
      <c r="M26" s="44">
        <f>L$4</f>
        <v>27</v>
      </c>
      <c r="N26" s="10" t="s">
        <v>41</v>
      </c>
      <c r="O26" s="44">
        <f>IF(L$5="Male",VLOOKUP(M26+M29,A$19:I$118,9,FALSE),VLOOKUP(M26+M29-3,A$19:I$118,9,FALSE))</f>
        <v>147.49336338167998</v>
      </c>
      <c r="P26" s="13" t="s">
        <v>26</v>
      </c>
      <c r="Q26" s="51">
        <f>(O26-O27)/O28</f>
        <v>0.14286425957439319</v>
      </c>
    </row>
    <row r="27" spans="1:18" x14ac:dyDescent="0.3">
      <c r="A27" s="31">
        <v>7</v>
      </c>
      <c r="B27" s="25">
        <v>1.3999999999999999E-4</v>
      </c>
      <c r="C27" s="37">
        <f t="shared" si="2"/>
        <v>0.99985999999999997</v>
      </c>
      <c r="D27" s="38">
        <f t="shared" si="4"/>
        <v>2997.0912093207394</v>
      </c>
      <c r="E27" s="38">
        <f t="shared" si="3"/>
        <v>0.41959276930490347</v>
      </c>
      <c r="F27" s="38">
        <f t="shared" si="0"/>
        <v>2277.5429977541421</v>
      </c>
      <c r="G27" s="39">
        <f t="shared" si="1"/>
        <v>0.30659232662074987</v>
      </c>
      <c r="H27" s="38">
        <f>SUM(F27:F$118)</f>
        <v>54956.915532961058</v>
      </c>
      <c r="I27" s="36">
        <f>SUM(G27:G$118)</f>
        <v>163.16511297761673</v>
      </c>
      <c r="K27" s="81"/>
      <c r="L27" s="4" t="s">
        <v>21</v>
      </c>
      <c r="M27" s="45">
        <f>L$10</f>
        <v>1</v>
      </c>
      <c r="N27" s="5" t="s">
        <v>44</v>
      </c>
      <c r="O27" s="45">
        <f>IF(L$5="Male",VLOOKUP(M26+M28+M29,A$19:I$118,9,FALSE),VLOOKUP(M26+M28+M29-3,A$19:I$118,9,FALSE))</f>
        <v>0.35914192777134207</v>
      </c>
      <c r="P27" s="9" t="s">
        <v>27</v>
      </c>
      <c r="Q27" s="52">
        <f>(O26-O27)/(O29-O30)</f>
        <v>0.14286425957439428</v>
      </c>
    </row>
    <row r="28" spans="1:18" x14ac:dyDescent="0.3">
      <c r="A28" s="31">
        <v>8</v>
      </c>
      <c r="B28" s="25">
        <v>1.3999999999999999E-4</v>
      </c>
      <c r="C28" s="37">
        <f t="shared" si="2"/>
        <v>0.99985999999999997</v>
      </c>
      <c r="D28" s="38">
        <f t="shared" si="4"/>
        <v>2996.6716165514345</v>
      </c>
      <c r="E28" s="38">
        <f t="shared" si="3"/>
        <v>0.41953402631720077</v>
      </c>
      <c r="F28" s="38">
        <f t="shared" si="0"/>
        <v>2189.6385978215926</v>
      </c>
      <c r="G28" s="39">
        <f t="shared" si="1"/>
        <v>0.29475904201444514</v>
      </c>
      <c r="H28" s="38">
        <f>SUM(F28:F$118)</f>
        <v>52679.372535206909</v>
      </c>
      <c r="I28" s="36">
        <f>SUM(G28:G$118)</f>
        <v>162.85852065099598</v>
      </c>
      <c r="K28" s="81"/>
      <c r="L28" s="5" t="s">
        <v>13</v>
      </c>
      <c r="M28" s="50">
        <f>L$8</f>
        <v>67</v>
      </c>
      <c r="N28" s="4" t="s">
        <v>5</v>
      </c>
      <c r="O28" s="45">
        <f>IF(L$5="Male",VLOOKUP(M26,A$19:I$118,6,FALSE),VLOOKUP(M26-3,A$19:I$118,6,FALSE))</f>
        <v>1029.8882442133261</v>
      </c>
      <c r="P28" s="9" t="s">
        <v>18</v>
      </c>
      <c r="Q28" s="27">
        <f>M30*Q27</f>
        <v>1428.6425957439428</v>
      </c>
      <c r="R28" s="1"/>
    </row>
    <row r="29" spans="1:18" x14ac:dyDescent="0.3">
      <c r="A29" s="31">
        <v>9</v>
      </c>
      <c r="B29" s="25">
        <v>1.3999999999999999E-4</v>
      </c>
      <c r="C29" s="37">
        <f t="shared" si="2"/>
        <v>0.99985999999999997</v>
      </c>
      <c r="D29" s="38">
        <f t="shared" si="4"/>
        <v>2996.2520825251172</v>
      </c>
      <c r="E29" s="38">
        <f t="shared" si="3"/>
        <v>0.41947529155351637</v>
      </c>
      <c r="F29" s="38">
        <f t="shared" si="0"/>
        <v>2105.126969632594</v>
      </c>
      <c r="G29" s="39">
        <f t="shared" si="1"/>
        <v>0.28338247668131067</v>
      </c>
      <c r="H29" s="38">
        <f>SUM(F29:F$118)</f>
        <v>50489.733937385325</v>
      </c>
      <c r="I29" s="36">
        <f>SUM(G29:G$118)</f>
        <v>162.56376160898154</v>
      </c>
      <c r="K29" s="81"/>
      <c r="L29" s="5" t="s">
        <v>17</v>
      </c>
      <c r="M29" s="50">
        <f>L$9</f>
        <v>4</v>
      </c>
      <c r="N29" s="9" t="s">
        <v>7</v>
      </c>
      <c r="O29" s="45">
        <f>IF(L$5="Male",VLOOKUP(M26,A$19:I$118,8,FALSE),VLOOKUP(M26-3,A$19:I$118,8,FALSE))</f>
        <v>22849.286561352208</v>
      </c>
      <c r="P29" s="5"/>
      <c r="Q29" s="14"/>
    </row>
    <row r="30" spans="1:18" ht="15" thickBot="1" x14ac:dyDescent="0.35">
      <c r="A30" s="31">
        <v>10</v>
      </c>
      <c r="B30" s="25">
        <v>1.4999999999999999E-4</v>
      </c>
      <c r="C30" s="37">
        <f t="shared" si="2"/>
        <v>0.99985000000000002</v>
      </c>
      <c r="D30" s="38">
        <f t="shared" si="4"/>
        <v>2995.8326072335635</v>
      </c>
      <c r="E30" s="38">
        <f t="shared" si="3"/>
        <v>0.44937489108503448</v>
      </c>
      <c r="F30" s="38">
        <f t="shared" si="0"/>
        <v>2023.8771652469661</v>
      </c>
      <c r="G30" s="39">
        <f t="shared" si="1"/>
        <v>0.29190536037215853</v>
      </c>
      <c r="H30" s="38">
        <f>SUM(F30:F$118)</f>
        <v>48384.606967752734</v>
      </c>
      <c r="I30" s="36">
        <f>SUM(G30:G$118)</f>
        <v>162.28037913230023</v>
      </c>
      <c r="K30" s="82"/>
      <c r="L30" s="7" t="s">
        <v>28</v>
      </c>
      <c r="M30" s="53">
        <f>L$7</f>
        <v>10000</v>
      </c>
      <c r="N30" s="7" t="s">
        <v>29</v>
      </c>
      <c r="O30" s="47">
        <f>IF(L$5="Male",VLOOKUP(M26+M27,A$19:I$118,8,FALSE),VLOOKUP(M26+M27-3,A$19:I$118,8,FALSE))</f>
        <v>21819.39831713889</v>
      </c>
      <c r="P30" s="6"/>
      <c r="Q30" s="15"/>
    </row>
    <row r="31" spans="1:18" x14ac:dyDescent="0.3">
      <c r="A31" s="31">
        <v>11</v>
      </c>
      <c r="B31" s="25">
        <v>1.8000000000000001E-4</v>
      </c>
      <c r="C31" s="37">
        <f t="shared" si="2"/>
        <v>0.99982000000000004</v>
      </c>
      <c r="D31" s="38">
        <f t="shared" si="4"/>
        <v>2995.3832323424785</v>
      </c>
      <c r="E31" s="38">
        <f t="shared" si="3"/>
        <v>0.53916898182164619</v>
      </c>
      <c r="F31" s="38">
        <f t="shared" si="0"/>
        <v>1945.7438304540185</v>
      </c>
      <c r="G31" s="39">
        <f t="shared" si="1"/>
        <v>0.3367633552708878</v>
      </c>
      <c r="H31" s="38">
        <f>SUM(F31:F$118)</f>
        <v>46360.729802505775</v>
      </c>
      <c r="I31" s="36">
        <f>SUM(G31:G$118)</f>
        <v>161.98847377192808</v>
      </c>
    </row>
    <row r="32" spans="1:18" x14ac:dyDescent="0.3">
      <c r="A32" s="31">
        <v>12</v>
      </c>
      <c r="B32" s="25">
        <v>2.2000000000000001E-4</v>
      </c>
      <c r="C32" s="37">
        <f t="shared" si="2"/>
        <v>0.99978</v>
      </c>
      <c r="D32" s="38">
        <f t="shared" si="4"/>
        <v>2994.8440633606569</v>
      </c>
      <c r="E32" s="38">
        <f t="shared" si="3"/>
        <v>0.65886569393934458</v>
      </c>
      <c r="F32" s="38">
        <f t="shared" si="0"/>
        <v>1870.570765927439</v>
      </c>
      <c r="G32" s="39">
        <f t="shared" si="1"/>
        <v>0.39569766202311202</v>
      </c>
      <c r="H32" s="38">
        <f>SUM(F32:F$118)</f>
        <v>44414.985972051763</v>
      </c>
      <c r="I32" s="36">
        <f>SUM(G32:G$118)</f>
        <v>161.65171041665718</v>
      </c>
    </row>
    <row r="33" spans="1:18" ht="15" thickBot="1" x14ac:dyDescent="0.35">
      <c r="A33" s="31">
        <v>13</v>
      </c>
      <c r="B33" s="25">
        <v>2.7E-4</v>
      </c>
      <c r="C33" s="37">
        <f t="shared" si="2"/>
        <v>0.99973000000000001</v>
      </c>
      <c r="D33" s="38">
        <f t="shared" si="4"/>
        <v>2994.1851976667176</v>
      </c>
      <c r="E33" s="38">
        <f t="shared" si="3"/>
        <v>0.80843000337001381</v>
      </c>
      <c r="F33" s="38">
        <f t="shared" si="0"/>
        <v>1798.2300388066678</v>
      </c>
      <c r="G33" s="39">
        <f t="shared" si="1"/>
        <v>0.46684818315173104</v>
      </c>
      <c r="H33" s="38">
        <f>SUM(F33:F$118)</f>
        <v>42544.415206124329</v>
      </c>
      <c r="I33" s="36">
        <f>SUM(G33:G$118)</f>
        <v>161.25601275463407</v>
      </c>
    </row>
    <row r="34" spans="1:18" x14ac:dyDescent="0.3">
      <c r="A34" s="31">
        <v>14</v>
      </c>
      <c r="B34" s="25">
        <v>3.3E-4</v>
      </c>
      <c r="C34" s="37">
        <f t="shared" si="2"/>
        <v>0.99966999999999995</v>
      </c>
      <c r="D34" s="38">
        <f t="shared" si="4"/>
        <v>2993.3767676633474</v>
      </c>
      <c r="E34" s="38">
        <f t="shared" si="3"/>
        <v>0.98781433332890467</v>
      </c>
      <c r="F34" s="38">
        <f t="shared" si="0"/>
        <v>1728.6004968232594</v>
      </c>
      <c r="G34" s="39">
        <f t="shared" si="1"/>
        <v>0.54849823456891889</v>
      </c>
      <c r="H34" s="38">
        <f>SUM(F34:F$118)</f>
        <v>40746.185167317664</v>
      </c>
      <c r="I34" s="36">
        <f>SUM(G34:G$118)</f>
        <v>160.78916457148233</v>
      </c>
      <c r="K34" s="80" t="s">
        <v>31</v>
      </c>
      <c r="L34" s="10" t="s">
        <v>12</v>
      </c>
      <c r="M34" s="44">
        <f>L$4</f>
        <v>27</v>
      </c>
      <c r="N34" s="10" t="s">
        <v>5</v>
      </c>
      <c r="O34" s="44">
        <f>IF(L$5="Male",VLOOKUP(M34,A$19:I$118,6,FALSE),VLOOKUP(M34-3,A$19:I$118,6,FALSE))</f>
        <v>1029.8882442133261</v>
      </c>
      <c r="P34" s="13" t="s">
        <v>26</v>
      </c>
      <c r="Q34" s="51">
        <f>O35/O34</f>
        <v>1.019417844527455E-3</v>
      </c>
    </row>
    <row r="35" spans="1:18" x14ac:dyDescent="0.3">
      <c r="A35" s="31">
        <v>15</v>
      </c>
      <c r="B35" s="25">
        <v>4.0000000000000002E-4</v>
      </c>
      <c r="C35" s="37">
        <f t="shared" si="2"/>
        <v>0.99960000000000004</v>
      </c>
      <c r="D35" s="38">
        <f t="shared" si="4"/>
        <v>2992.3889533300185</v>
      </c>
      <c r="E35" s="38">
        <f t="shared" si="3"/>
        <v>1.1969555813320074</v>
      </c>
      <c r="F35" s="38">
        <f t="shared" si="0"/>
        <v>1661.5673640954881</v>
      </c>
      <c r="G35" s="39">
        <f t="shared" si="1"/>
        <v>0.63906437080595691</v>
      </c>
      <c r="H35" s="38">
        <f>SUM(F35:F$118)</f>
        <v>39017.58467049442</v>
      </c>
      <c r="I35" s="36">
        <f>SUM(G35:G$118)</f>
        <v>160.24066633691342</v>
      </c>
      <c r="K35" s="81"/>
      <c r="L35" s="4" t="s">
        <v>21</v>
      </c>
      <c r="M35" s="45">
        <f>L$10</f>
        <v>1</v>
      </c>
      <c r="N35" s="5" t="s">
        <v>43</v>
      </c>
      <c r="O35" s="45">
        <f>IF(L$5="Male",VLOOKUP(M34+M36+M37,A$19:I$118,6,FALSE),VLOOKUP(M34+M36+M37-3,A$19:I$118,6,FALSE))</f>
        <v>1.049886454020114</v>
      </c>
      <c r="P35" s="9" t="s">
        <v>27</v>
      </c>
      <c r="Q35" s="52">
        <f>O35/(O36-O37)</f>
        <v>1.0194178445274628E-3</v>
      </c>
    </row>
    <row r="36" spans="1:18" x14ac:dyDescent="0.3">
      <c r="A36" s="31">
        <v>16</v>
      </c>
      <c r="B36" s="25">
        <v>5.1999999999999995E-4</v>
      </c>
      <c r="C36" s="37">
        <f t="shared" si="2"/>
        <v>0.99948000000000004</v>
      </c>
      <c r="D36" s="38">
        <f t="shared" si="4"/>
        <v>2991.1919977486864</v>
      </c>
      <c r="E36" s="38">
        <f t="shared" si="3"/>
        <v>1.5554198388293168</v>
      </c>
      <c r="F36" s="38">
        <f t="shared" si="0"/>
        <v>1597.0218626440862</v>
      </c>
      <c r="G36" s="39">
        <f t="shared" si="1"/>
        <v>0.79851093132204298</v>
      </c>
      <c r="H36" s="38">
        <f>SUM(F36:F$118)</f>
        <v>37356.017306398913</v>
      </c>
      <c r="I36" s="36">
        <f>SUM(G36:G$118)</f>
        <v>159.60160196610747</v>
      </c>
      <c r="K36" s="81"/>
      <c r="L36" s="5" t="s">
        <v>13</v>
      </c>
      <c r="M36" s="50">
        <f>L$8</f>
        <v>67</v>
      </c>
      <c r="N36" s="1" t="s">
        <v>7</v>
      </c>
      <c r="O36" s="45">
        <f>IF(L$5="Male",VLOOKUP(M34,A$19:I$118,8,FALSE),VLOOKUP(M34-3,A$19:I$118,8,FALSE))</f>
        <v>22849.286561352208</v>
      </c>
      <c r="P36" s="9" t="s">
        <v>18</v>
      </c>
      <c r="Q36" s="27">
        <f>M38*Q35</f>
        <v>10.194178445274629</v>
      </c>
    </row>
    <row r="37" spans="1:18" x14ac:dyDescent="0.3">
      <c r="A37" s="31">
        <v>17</v>
      </c>
      <c r="B37" s="25">
        <v>6.4000000000000005E-4</v>
      </c>
      <c r="C37" s="37">
        <f t="shared" si="2"/>
        <v>0.99936000000000003</v>
      </c>
      <c r="D37" s="38">
        <f t="shared" si="4"/>
        <v>2989.6365779098569</v>
      </c>
      <c r="E37" s="38">
        <f t="shared" si="3"/>
        <v>1.9133674098623086</v>
      </c>
      <c r="F37" s="38">
        <f t="shared" si="0"/>
        <v>1534.7994339187608</v>
      </c>
      <c r="G37" s="39">
        <f t="shared" si="1"/>
        <v>0.94449195933462182</v>
      </c>
      <c r="H37" s="38">
        <f>SUM(F37:F$118)</f>
        <v>35758.995443754829</v>
      </c>
      <c r="I37" s="36">
        <f>SUM(G37:G$118)</f>
        <v>158.80309103478541</v>
      </c>
      <c r="K37" s="81"/>
      <c r="L37" s="5" t="s">
        <v>17</v>
      </c>
      <c r="M37" s="50">
        <f>L$9</f>
        <v>4</v>
      </c>
      <c r="N37" s="5" t="s">
        <v>29</v>
      </c>
      <c r="O37" s="45">
        <f>IF(L$5="Male",VLOOKUP(M34+M35,A$19:I$118,8,FALSE),VLOOKUP(M34+M35-3,A$19:I$118,8,FALSE))</f>
        <v>21819.39831713889</v>
      </c>
      <c r="P37" s="5"/>
      <c r="Q37" s="16"/>
      <c r="R37" s="1"/>
    </row>
    <row r="38" spans="1:18" ht="15" thickBot="1" x14ac:dyDescent="0.35">
      <c r="A38" s="31">
        <v>18</v>
      </c>
      <c r="B38" s="25">
        <v>7.2000000000000005E-4</v>
      </c>
      <c r="C38" s="37">
        <f t="shared" si="2"/>
        <v>0.99927999999999995</v>
      </c>
      <c r="D38" s="38">
        <f t="shared" si="4"/>
        <v>2987.7232104999944</v>
      </c>
      <c r="E38" s="38">
        <f t="shared" si="3"/>
        <v>2.1511607115599962</v>
      </c>
      <c r="F38" s="38">
        <f t="shared" si="0"/>
        <v>1474.8241945010118</v>
      </c>
      <c r="G38" s="39">
        <f t="shared" si="1"/>
        <v>1.0210321346545468</v>
      </c>
      <c r="H38" s="38">
        <f>SUM(F38:F$118)</f>
        <v>34224.196009836065</v>
      </c>
      <c r="I38" s="36">
        <f>SUM(G38:G$118)</f>
        <v>157.8585990754508</v>
      </c>
      <c r="K38" s="82"/>
      <c r="L38" s="7" t="s">
        <v>28</v>
      </c>
      <c r="M38" s="53">
        <f>L$6</f>
        <v>10000</v>
      </c>
      <c r="N38" s="70" t="s">
        <v>42</v>
      </c>
      <c r="O38" s="47">
        <f>IF(L$5="Male",VLOOKUP(M34+M36+M37,A$19:I$118,8,FALSE),VLOOKUP(M34+M36+M37-3,A$19:I$118,8,FALSE))</f>
        <v>1.049886454020114</v>
      </c>
      <c r="P38" s="6"/>
      <c r="Q38" s="71"/>
    </row>
    <row r="39" spans="1:18" x14ac:dyDescent="0.3">
      <c r="A39" s="31">
        <v>19</v>
      </c>
      <c r="B39" s="25">
        <v>7.5000000000000002E-4</v>
      </c>
      <c r="C39" s="37">
        <f t="shared" si="2"/>
        <v>0.99924999999999997</v>
      </c>
      <c r="D39" s="38">
        <f t="shared" si="4"/>
        <v>2985.5720497884345</v>
      </c>
      <c r="E39" s="38">
        <f t="shared" si="3"/>
        <v>2.2391790373413261</v>
      </c>
      <c r="F39" s="38">
        <f t="shared" si="0"/>
        <v>1417.0791548855491</v>
      </c>
      <c r="G39" s="39">
        <f t="shared" si="1"/>
        <v>1.0219320828501555</v>
      </c>
      <c r="H39" s="38">
        <f>SUM(F39:F$118)</f>
        <v>32749.371815335042</v>
      </c>
      <c r="I39" s="36">
        <f>SUM(G39:G$118)</f>
        <v>156.83756694079622</v>
      </c>
      <c r="K39" s="69"/>
    </row>
    <row r="40" spans="1:18" x14ac:dyDescent="0.3">
      <c r="A40" s="31">
        <v>20</v>
      </c>
      <c r="B40" s="25">
        <v>7.2000000000000005E-4</v>
      </c>
      <c r="C40" s="37">
        <f t="shared" si="2"/>
        <v>0.99927999999999995</v>
      </c>
      <c r="D40" s="38">
        <f t="shared" si="4"/>
        <v>2983.3328707510932</v>
      </c>
      <c r="E40" s="38">
        <f t="shared" si="3"/>
        <v>2.147999666940787</v>
      </c>
      <c r="F40" s="38">
        <f t="shared" si="0"/>
        <v>1361.5541783840238</v>
      </c>
      <c r="G40" s="39">
        <f t="shared" si="1"/>
        <v>0.94261443118893939</v>
      </c>
      <c r="H40" s="38">
        <f>SUM(F40:F$118)</f>
        <v>31332.292660449493</v>
      </c>
      <c r="I40" s="36">
        <f>SUM(G40:G$118)</f>
        <v>155.81563485794609</v>
      </c>
    </row>
    <row r="41" spans="1:18" ht="15" thickBot="1" x14ac:dyDescent="0.35">
      <c r="A41" s="31">
        <v>21</v>
      </c>
      <c r="B41" s="25">
        <v>6.7000000000000002E-4</v>
      </c>
      <c r="C41" s="37">
        <f t="shared" si="2"/>
        <v>0.99933000000000005</v>
      </c>
      <c r="D41" s="38">
        <f t="shared" si="4"/>
        <v>2981.1848710841523</v>
      </c>
      <c r="E41" s="38">
        <f t="shared" si="3"/>
        <v>1.9973938636263822</v>
      </c>
      <c r="F41" s="38">
        <f t="shared" si="0"/>
        <v>1308.2440955534491</v>
      </c>
      <c r="G41" s="39">
        <f t="shared" si="1"/>
        <v>0.84281110002001036</v>
      </c>
      <c r="H41" s="38">
        <f>SUM(F41:F$118)</f>
        <v>29970.73848206547</v>
      </c>
      <c r="I41" s="36">
        <f>SUM(G41:G$118)</f>
        <v>154.87302042675714</v>
      </c>
    </row>
    <row r="42" spans="1:18" x14ac:dyDescent="0.3">
      <c r="A42" s="31">
        <v>22</v>
      </c>
      <c r="B42" s="25">
        <v>6.2E-4</v>
      </c>
      <c r="C42" s="37">
        <f t="shared" si="2"/>
        <v>0.99938000000000005</v>
      </c>
      <c r="D42" s="38">
        <f t="shared" si="4"/>
        <v>2979.187477220526</v>
      </c>
      <c r="E42" s="38">
        <f t="shared" si="3"/>
        <v>1.8470962358767262</v>
      </c>
      <c r="F42" s="38">
        <f t="shared" si="0"/>
        <v>1257.0842038552194</v>
      </c>
      <c r="G42" s="39">
        <f t="shared" si="1"/>
        <v>0.74941558306753464</v>
      </c>
      <c r="H42" s="38">
        <f>SUM(F42:F$118)</f>
        <v>28662.494386512015</v>
      </c>
      <c r="I42" s="36">
        <f>SUM(G42:G$118)</f>
        <v>154.03020932673712</v>
      </c>
      <c r="K42" s="80" t="s">
        <v>32</v>
      </c>
      <c r="L42" s="10" t="s">
        <v>12</v>
      </c>
      <c r="M42" s="44">
        <f>L$4</f>
        <v>27</v>
      </c>
      <c r="N42" s="10" t="s">
        <v>41</v>
      </c>
      <c r="O42" s="44">
        <f>IF(L$5="Male",VLOOKUP(M42+M45,A$19:I$118,9,FALSE),VLOOKUP(M42+M45-3,A$19:I$118,9,FALSE))</f>
        <v>147.49336338167998</v>
      </c>
      <c r="P42" s="13" t="s">
        <v>26</v>
      </c>
      <c r="Q42" s="51">
        <f>(O42-O43+O45)/O44</f>
        <v>0.14388367741892064</v>
      </c>
    </row>
    <row r="43" spans="1:18" x14ac:dyDescent="0.3">
      <c r="A43" s="31">
        <v>23</v>
      </c>
      <c r="B43" s="25">
        <v>5.9999999999999995E-4</v>
      </c>
      <c r="C43" s="37">
        <f t="shared" si="2"/>
        <v>0.99939999999999996</v>
      </c>
      <c r="D43" s="38">
        <f t="shared" si="4"/>
        <v>2977.3403809846495</v>
      </c>
      <c r="E43" s="38">
        <f t="shared" si="3"/>
        <v>1.7864042285907895</v>
      </c>
      <c r="F43" s="38">
        <f t="shared" si="0"/>
        <v>1207.9853958161818</v>
      </c>
      <c r="G43" s="39">
        <f t="shared" si="1"/>
        <v>0.69691465143241249</v>
      </c>
      <c r="H43" s="38">
        <f>SUM(F43:F$118)</f>
        <v>27405.410182656793</v>
      </c>
      <c r="I43" s="36">
        <f>SUM(G43:G$118)</f>
        <v>153.28079374366962</v>
      </c>
      <c r="K43" s="81"/>
      <c r="L43" s="4" t="s">
        <v>21</v>
      </c>
      <c r="M43" s="45">
        <f>L$10</f>
        <v>1</v>
      </c>
      <c r="N43" s="5" t="s">
        <v>44</v>
      </c>
      <c r="O43" s="45">
        <f>IF(L$5="Male",VLOOKUP(M42+M44+M45,A$19:I$118,9,FALSE),VLOOKUP(M42+M44+M45-3,A$19:I$118,9,FALSE))</f>
        <v>0.35914192777134207</v>
      </c>
      <c r="P43" s="9" t="s">
        <v>27</v>
      </c>
      <c r="Q43" s="52">
        <f>(O42-O43+O45)/(O46-O47)</f>
        <v>0.14388367741892175</v>
      </c>
    </row>
    <row r="44" spans="1:18" x14ac:dyDescent="0.3">
      <c r="A44" s="31">
        <v>24</v>
      </c>
      <c r="B44" s="25">
        <v>6.4000000000000005E-4</v>
      </c>
      <c r="C44" s="37">
        <f t="shared" si="2"/>
        <v>0.99936000000000003</v>
      </c>
      <c r="D44" s="38">
        <f t="shared" si="4"/>
        <v>2975.5539767560585</v>
      </c>
      <c r="E44" s="38">
        <f t="shared" si="3"/>
        <v>1.9043545451238777</v>
      </c>
      <c r="F44" s="38">
        <f t="shared" si="0"/>
        <v>1160.8275044025884</v>
      </c>
      <c r="G44" s="39">
        <f t="shared" si="1"/>
        <v>0.71435538732466985</v>
      </c>
      <c r="H44" s="38">
        <f>SUM(F44:F$118)</f>
        <v>26197.424786840609</v>
      </c>
      <c r="I44" s="36">
        <f>SUM(G44:G$118)</f>
        <v>152.5838790922372</v>
      </c>
      <c r="K44" s="81"/>
      <c r="L44" s="5" t="s">
        <v>13</v>
      </c>
      <c r="M44" s="50">
        <f>L$8</f>
        <v>67</v>
      </c>
      <c r="N44" s="4" t="s">
        <v>5</v>
      </c>
      <c r="O44" s="45">
        <f>IF(L$5="Male",VLOOKUP(M42,A$19:I$118,6,FALSE),VLOOKUP(M42-3,A$19:I$118,6,FALSE))</f>
        <v>1029.8882442133261</v>
      </c>
      <c r="P44" s="9" t="s">
        <v>18</v>
      </c>
      <c r="Q44" s="27">
        <f>M46*Q43</f>
        <v>2877.673548378435</v>
      </c>
    </row>
    <row r="45" spans="1:18" x14ac:dyDescent="0.3">
      <c r="A45" s="31">
        <v>25</v>
      </c>
      <c r="B45" s="25">
        <v>6.7000000000000002E-4</v>
      </c>
      <c r="C45" s="37">
        <f t="shared" si="2"/>
        <v>0.99933000000000005</v>
      </c>
      <c r="D45" s="38">
        <f t="shared" si="4"/>
        <v>2973.6496222109345</v>
      </c>
      <c r="E45" s="38">
        <f t="shared" si="3"/>
        <v>1.9923452468813261</v>
      </c>
      <c r="F45" s="38">
        <f t="shared" si="0"/>
        <v>1115.4659373074719</v>
      </c>
      <c r="G45" s="39">
        <f t="shared" si="1"/>
        <v>0.71861747884231342</v>
      </c>
      <c r="H45" s="38">
        <f>SUM(F45:F$118)</f>
        <v>25036.597282438022</v>
      </c>
      <c r="I45" s="36">
        <f>SUM(G45:G$118)</f>
        <v>151.86952370491252</v>
      </c>
      <c r="K45" s="81"/>
      <c r="L45" s="5" t="s">
        <v>17</v>
      </c>
      <c r="M45" s="50">
        <f>L$9</f>
        <v>4</v>
      </c>
      <c r="N45" s="5" t="s">
        <v>45</v>
      </c>
      <c r="O45" s="45">
        <f>IF(L$5="Male",VLOOKUP(M42+M44+M45,A$19:I$118,6,FALSE),VLOOKUP(M42+M44+M45-3,A$19:I$118,6,FALSE))</f>
        <v>1.049886454020114</v>
      </c>
      <c r="P45" s="5"/>
      <c r="Q45" s="76"/>
    </row>
    <row r="46" spans="1:18" x14ac:dyDescent="0.3">
      <c r="A46" s="31">
        <v>26</v>
      </c>
      <c r="B46" s="25">
        <v>7.1000000000000002E-4</v>
      </c>
      <c r="C46" s="37">
        <f t="shared" si="2"/>
        <v>0.99929000000000001</v>
      </c>
      <c r="D46" s="38">
        <f t="shared" si="4"/>
        <v>2971.6572769640529</v>
      </c>
      <c r="E46" s="38">
        <f t="shared" si="3"/>
        <v>2.1098766666444777</v>
      </c>
      <c r="F46" s="38">
        <f t="shared" si="0"/>
        <v>1071.8447837783419</v>
      </c>
      <c r="G46" s="39">
        <f t="shared" si="1"/>
        <v>0.73174018892559878</v>
      </c>
      <c r="H46" s="38">
        <f>SUM(F46:F$118)</f>
        <v>23921.131345130554</v>
      </c>
      <c r="I46" s="36">
        <f>SUM(G46:G$118)</f>
        <v>151.15090622607022</v>
      </c>
      <c r="K46" s="81"/>
      <c r="L46" s="5" t="s">
        <v>28</v>
      </c>
      <c r="M46" s="50">
        <f>L$6+L$7</f>
        <v>20000</v>
      </c>
      <c r="N46" s="9" t="s">
        <v>7</v>
      </c>
      <c r="O46" s="45">
        <f>IF(L$5="Male",VLOOKUP(M42,A$19:I$118,8,FALSE),VLOOKUP(M42-3,A$19:I$118,8,FALSE))</f>
        <v>22849.286561352208</v>
      </c>
      <c r="P46" s="78"/>
      <c r="Q46" s="79"/>
      <c r="R46" s="1"/>
    </row>
    <row r="47" spans="1:18" ht="15" thickBot="1" x14ac:dyDescent="0.35">
      <c r="A47" s="31">
        <v>27</v>
      </c>
      <c r="B47" s="25">
        <v>7.3999999999999999E-4</v>
      </c>
      <c r="C47" s="37">
        <f t="shared" si="2"/>
        <v>0.99926000000000004</v>
      </c>
      <c r="D47" s="38">
        <f t="shared" si="4"/>
        <v>2969.5474002974083</v>
      </c>
      <c r="E47" s="38">
        <f t="shared" si="3"/>
        <v>2.197465076220082</v>
      </c>
      <c r="F47" s="38">
        <f t="shared" si="0"/>
        <v>1029.8882442133261</v>
      </c>
      <c r="G47" s="39">
        <f t="shared" si="1"/>
        <v>0.73280509684409723</v>
      </c>
      <c r="H47" s="38">
        <f>SUM(F47:F$118)</f>
        <v>22849.286561352208</v>
      </c>
      <c r="I47" s="36">
        <f>SUM(G47:G$118)</f>
        <v>150.41916603714461</v>
      </c>
      <c r="K47" s="82"/>
      <c r="L47" s="6"/>
      <c r="M47" s="46"/>
      <c r="N47" s="7" t="s">
        <v>29</v>
      </c>
      <c r="O47" s="47">
        <f>IF(L$5="Male",VLOOKUP(M42+M43,A$19:I$118,8,FALSE),VLOOKUP(M42+M43-3,A$19:I$118,8,FALSE))</f>
        <v>21819.39831713889</v>
      </c>
      <c r="P47" s="6"/>
      <c r="Q47" s="77"/>
    </row>
    <row r="48" spans="1:18" x14ac:dyDescent="0.3">
      <c r="A48" s="31">
        <v>28</v>
      </c>
      <c r="B48" s="25">
        <v>7.6999999999999996E-4</v>
      </c>
      <c r="C48" s="37">
        <f t="shared" si="2"/>
        <v>0.99922999999999995</v>
      </c>
      <c r="D48" s="38">
        <f t="shared" si="4"/>
        <v>2967.3499352211884</v>
      </c>
      <c r="E48" s="38">
        <f t="shared" si="3"/>
        <v>2.2848594501203148</v>
      </c>
      <c r="F48" s="38">
        <f t="shared" si="0"/>
        <v>989.54435280058476</v>
      </c>
      <c r="G48" s="39">
        <f t="shared" si="1"/>
        <v>0.73264341505427888</v>
      </c>
      <c r="H48" s="38">
        <f>SUM(F48:F$118)</f>
        <v>21819.39831713889</v>
      </c>
      <c r="I48" s="36">
        <f>SUM(G48:G$118)</f>
        <v>149.68636094030052</v>
      </c>
    </row>
    <row r="49" spans="1:18" x14ac:dyDescent="0.3">
      <c r="A49" s="31">
        <v>29</v>
      </c>
      <c r="B49" s="25">
        <v>8.0000000000000004E-4</v>
      </c>
      <c r="C49" s="37">
        <f t="shared" si="2"/>
        <v>0.99919999999999998</v>
      </c>
      <c r="D49" s="38">
        <f t="shared" si="4"/>
        <v>2965.0650757710682</v>
      </c>
      <c r="E49" s="38">
        <f t="shared" si="3"/>
        <v>2.3720520606168547</v>
      </c>
      <c r="F49" s="38">
        <f t="shared" si="0"/>
        <v>950.75231120089245</v>
      </c>
      <c r="G49" s="39">
        <f t="shared" si="1"/>
        <v>0.73134793169299406</v>
      </c>
      <c r="H49" s="38">
        <f>SUM(F49:F$118)</f>
        <v>20829.853964338305</v>
      </c>
      <c r="I49" s="36">
        <f>SUM(G49:G$118)</f>
        <v>148.95371752524625</v>
      </c>
    </row>
    <row r="50" spans="1:18" ht="15" thickBot="1" x14ac:dyDescent="0.35">
      <c r="A50" s="31">
        <v>30</v>
      </c>
      <c r="B50" s="25">
        <v>8.3000000000000001E-4</v>
      </c>
      <c r="C50" s="37">
        <f t="shared" si="2"/>
        <v>0.99917</v>
      </c>
      <c r="D50" s="38">
        <f t="shared" si="4"/>
        <v>2962.6930237104511</v>
      </c>
      <c r="E50" s="38">
        <f t="shared" si="3"/>
        <v>2.4590352096796746</v>
      </c>
      <c r="F50" s="38">
        <f t="shared" si="0"/>
        <v>913.45356668454951</v>
      </c>
      <c r="G50" s="39">
        <f t="shared" si="1"/>
        <v>0.72900621187324643</v>
      </c>
      <c r="H50" s="38">
        <f>SUM(F50:F$118)</f>
        <v>19879.101653137419</v>
      </c>
      <c r="I50" s="36">
        <f>SUM(G50:G$118)</f>
        <v>148.22236959355322</v>
      </c>
    </row>
    <row r="51" spans="1:18" x14ac:dyDescent="0.3">
      <c r="A51" s="31">
        <v>31</v>
      </c>
      <c r="B51" s="25">
        <v>8.5999999999999998E-4</v>
      </c>
      <c r="C51" s="37">
        <f t="shared" si="2"/>
        <v>0.99914000000000003</v>
      </c>
      <c r="D51" s="38">
        <f t="shared" si="4"/>
        <v>2960.2339885007714</v>
      </c>
      <c r="E51" s="38">
        <f t="shared" si="3"/>
        <v>2.5458012301106634</v>
      </c>
      <c r="F51" s="38">
        <f t="shared" si="0"/>
        <v>877.59173098480903</v>
      </c>
      <c r="G51" s="39">
        <f t="shared" si="1"/>
        <v>0.72570085446820742</v>
      </c>
      <c r="H51" s="38">
        <f>SUM(F51:F$118)</f>
        <v>18965.648086452871</v>
      </c>
      <c r="I51" s="36">
        <f>SUM(G51:G$118)</f>
        <v>147.49336338167998</v>
      </c>
      <c r="K51" s="80" t="s">
        <v>34</v>
      </c>
      <c r="L51" s="10" t="s">
        <v>12</v>
      </c>
      <c r="M51" s="44">
        <f>L$4</f>
        <v>27</v>
      </c>
      <c r="N51" s="13" t="s">
        <v>7</v>
      </c>
      <c r="O51" s="44">
        <f>IF(L$5="Male",VLOOKUP(M51,A$19:I$118,8,FALSE),VLOOKUP(M51-3,A$19:I$118,8,FALSE))</f>
        <v>22849.286561352208</v>
      </c>
      <c r="P51" s="13" t="s">
        <v>26</v>
      </c>
      <c r="Q51" s="51">
        <f>O53/O54</f>
        <v>18.415248637913784</v>
      </c>
    </row>
    <row r="52" spans="1:18" x14ac:dyDescent="0.3">
      <c r="A52" s="31">
        <v>32</v>
      </c>
      <c r="B52" s="25">
        <v>8.9999999999999998E-4</v>
      </c>
      <c r="C52" s="37">
        <f t="shared" si="2"/>
        <v>0.99909999999999999</v>
      </c>
      <c r="D52" s="38">
        <f t="shared" si="4"/>
        <v>2957.6881872706608</v>
      </c>
      <c r="E52" s="38">
        <f t="shared" si="3"/>
        <v>2.6619193685435945</v>
      </c>
      <c r="F52" s="38">
        <f t="shared" ref="F52:F83" si="5">D52*(C$16^A52)</f>
        <v>843.11250201554049</v>
      </c>
      <c r="G52" s="39">
        <f t="shared" ref="G52:G83" si="6">E52*(C$16^(A52+1))</f>
        <v>0.72961658828267906</v>
      </c>
      <c r="H52" s="38">
        <f>SUM(F52:F$118)</f>
        <v>18088.056355468056</v>
      </c>
      <c r="I52" s="36">
        <f>SUM(G52:G$118)</f>
        <v>146.7676625272118</v>
      </c>
      <c r="K52" s="81"/>
      <c r="L52" s="4" t="s">
        <v>21</v>
      </c>
      <c r="M52" s="45">
        <f>L$10</f>
        <v>1</v>
      </c>
      <c r="N52" s="5" t="s">
        <v>29</v>
      </c>
      <c r="O52" s="45">
        <f>IF(L$5="Male",VLOOKUP(M51+M52,A$19:I$118,8,FALSE),VLOOKUP(M51+M52-3,A$19:I$118,8,FALSE))</f>
        <v>21819.39831713889</v>
      </c>
      <c r="P52" s="9" t="s">
        <v>27</v>
      </c>
      <c r="Q52" s="52">
        <f>O53/(O51-O52)</f>
        <v>18.415248637913926</v>
      </c>
    </row>
    <row r="53" spans="1:18" x14ac:dyDescent="0.3">
      <c r="A53" s="31">
        <v>33</v>
      </c>
      <c r="B53" s="25">
        <v>9.3999999999999997E-4</v>
      </c>
      <c r="C53" s="37">
        <f t="shared" si="2"/>
        <v>0.99905999999999995</v>
      </c>
      <c r="D53" s="38">
        <f t="shared" si="4"/>
        <v>2955.0262679021171</v>
      </c>
      <c r="E53" s="38">
        <f t="shared" si="3"/>
        <v>2.7777246918279901</v>
      </c>
      <c r="F53" s="38">
        <f t="shared" si="5"/>
        <v>809.95548150358297</v>
      </c>
      <c r="G53" s="39">
        <f t="shared" si="6"/>
        <v>0.73207514674362306</v>
      </c>
      <c r="H53" s="38">
        <f>SUM(F53:F$118)</f>
        <v>17244.943853452514</v>
      </c>
      <c r="I53" s="36">
        <f>SUM(G53:G$118)</f>
        <v>146.03804593892912</v>
      </c>
      <c r="K53" s="81"/>
      <c r="L53" s="5" t="s">
        <v>17</v>
      </c>
      <c r="M53" s="50">
        <f>L$9</f>
        <v>4</v>
      </c>
      <c r="N53" s="4" t="s">
        <v>24</v>
      </c>
      <c r="O53" s="45">
        <f>IF(L$5="Male",VLOOKUP(M51+M53,A$19:I$118,8,FALSE),VLOOKUP(M51+M53-3,A$19:I$118,8,FALSE))</f>
        <v>18965.648086452871</v>
      </c>
      <c r="P53" s="9" t="s">
        <v>18</v>
      </c>
      <c r="Q53" s="27">
        <f>M54*Q52</f>
        <v>184152.48637913927</v>
      </c>
    </row>
    <row r="54" spans="1:18" x14ac:dyDescent="0.3">
      <c r="A54" s="31">
        <v>34</v>
      </c>
      <c r="B54" s="25">
        <v>9.7999999999999997E-4</v>
      </c>
      <c r="C54" s="37">
        <f t="shared" si="2"/>
        <v>0.99902000000000002</v>
      </c>
      <c r="D54" s="38">
        <f t="shared" si="4"/>
        <v>2952.248543210289</v>
      </c>
      <c r="E54" s="38">
        <f t="shared" si="3"/>
        <v>2.8932035723460832</v>
      </c>
      <c r="F54" s="38">
        <f t="shared" si="5"/>
        <v>778.0712724528554</v>
      </c>
      <c r="G54" s="39">
        <f t="shared" si="6"/>
        <v>0.73318254519595982</v>
      </c>
      <c r="H54" s="38">
        <f>SUM(F54:F$118)</f>
        <v>16434.988371948926</v>
      </c>
      <c r="I54" s="36">
        <f>SUM(G54:G$118)</f>
        <v>145.30597079218549</v>
      </c>
      <c r="K54" s="81"/>
      <c r="L54" s="5" t="s">
        <v>28</v>
      </c>
      <c r="M54" s="50">
        <f>L$6</f>
        <v>10000</v>
      </c>
      <c r="N54" s="4" t="s">
        <v>5</v>
      </c>
      <c r="O54" s="45">
        <f>IF(L$5="Male",VLOOKUP(M51,A$19:I$118,6,FALSE),VLOOKUP(M51-3,A$19:I$118,6,FALSE))</f>
        <v>1029.8882442133261</v>
      </c>
      <c r="P54" s="5"/>
      <c r="Q54" s="16"/>
    </row>
    <row r="55" spans="1:18" ht="15" thickBot="1" x14ac:dyDescent="0.35">
      <c r="A55" s="31">
        <v>35</v>
      </c>
      <c r="B55" s="25">
        <v>1.0300000000000001E-3</v>
      </c>
      <c r="C55" s="37">
        <f t="shared" si="2"/>
        <v>0.99897000000000002</v>
      </c>
      <c r="D55" s="38">
        <f t="shared" si="4"/>
        <v>2949.355339637943</v>
      </c>
      <c r="E55" s="38">
        <f t="shared" si="3"/>
        <v>3.0378359998270814</v>
      </c>
      <c r="F55" s="38">
        <f t="shared" si="5"/>
        <v>747.41227173639572</v>
      </c>
      <c r="G55" s="39">
        <f t="shared" si="6"/>
        <v>0.74022561527739184</v>
      </c>
      <c r="H55" s="38">
        <f>SUM(F55:F$118)</f>
        <v>15656.917099496071</v>
      </c>
      <c r="I55" s="36">
        <f>SUM(G55:G$118)</f>
        <v>144.57278824698952</v>
      </c>
      <c r="K55" s="82"/>
      <c r="L55" s="6"/>
      <c r="M55" s="46"/>
      <c r="N55" s="6"/>
      <c r="O55" s="53"/>
      <c r="P55" s="7"/>
      <c r="Q55" s="17"/>
    </row>
    <row r="56" spans="1:18" x14ac:dyDescent="0.3">
      <c r="A56" s="31">
        <v>36</v>
      </c>
      <c r="B56" s="25">
        <v>1.09E-3</v>
      </c>
      <c r="C56" s="37">
        <f t="shared" si="2"/>
        <v>0.99890999999999996</v>
      </c>
      <c r="D56" s="38">
        <f t="shared" si="4"/>
        <v>2946.3175036381158</v>
      </c>
      <c r="E56" s="38">
        <f t="shared" si="3"/>
        <v>3.2114860789655464</v>
      </c>
      <c r="F56" s="38">
        <f t="shared" si="5"/>
        <v>717.92542028510297</v>
      </c>
      <c r="G56" s="39">
        <f t="shared" si="6"/>
        <v>0.75244106549111744</v>
      </c>
      <c r="H56" s="38">
        <f>SUM(F56:F$118)</f>
        <v>14909.504827759676</v>
      </c>
      <c r="I56" s="36">
        <f>SUM(G56:G$118)</f>
        <v>143.83256263171214</v>
      </c>
      <c r="K56" s="62"/>
    </row>
    <row r="57" spans="1:18" x14ac:dyDescent="0.3">
      <c r="A57" s="31">
        <v>37</v>
      </c>
      <c r="B57" s="25">
        <v>1.16E-3</v>
      </c>
      <c r="C57" s="37">
        <f t="shared" si="2"/>
        <v>0.99883999999999995</v>
      </c>
      <c r="D57" s="38">
        <f t="shared" si="4"/>
        <v>2943.1060175591501</v>
      </c>
      <c r="E57" s="38">
        <f t="shared" si="3"/>
        <v>3.4140029803686143</v>
      </c>
      <c r="F57" s="38">
        <f t="shared" si="5"/>
        <v>689.56046305480004</v>
      </c>
      <c r="G57" s="39">
        <f t="shared" si="6"/>
        <v>0.76912513186881537</v>
      </c>
      <c r="H57" s="38">
        <f>SUM(F57:F$118)</f>
        <v>14191.579407474572</v>
      </c>
      <c r="I57" s="36">
        <f>SUM(G57:G$118)</f>
        <v>143.08012156622104</v>
      </c>
    </row>
    <row r="58" spans="1:18" ht="15" thickBot="1" x14ac:dyDescent="0.35">
      <c r="A58" s="31">
        <v>38</v>
      </c>
      <c r="B58" s="25">
        <v>1.23E-3</v>
      </c>
      <c r="C58" s="37">
        <f t="shared" si="2"/>
        <v>0.99877000000000005</v>
      </c>
      <c r="D58" s="38">
        <f t="shared" si="4"/>
        <v>2939.6920145787817</v>
      </c>
      <c r="E58" s="38">
        <f t="shared" si="3"/>
        <v>3.6158211779319016</v>
      </c>
      <c r="F58" s="38">
        <f t="shared" si="5"/>
        <v>662.26978165159267</v>
      </c>
      <c r="G58" s="39">
        <f t="shared" si="6"/>
        <v>0.78326137637640303</v>
      </c>
      <c r="H58" s="38">
        <f>SUM(F58:F$118)</f>
        <v>13502.018944419771</v>
      </c>
      <c r="I58" s="36">
        <f>SUM(G58:G$118)</f>
        <v>142.31099643435221</v>
      </c>
      <c r="R58" s="2"/>
    </row>
    <row r="59" spans="1:18" x14ac:dyDescent="0.3">
      <c r="A59" s="31">
        <v>39</v>
      </c>
      <c r="B59" s="25">
        <v>1.31E-3</v>
      </c>
      <c r="C59" s="37">
        <f t="shared" si="2"/>
        <v>0.99868999999999997</v>
      </c>
      <c r="D59" s="38">
        <f t="shared" si="4"/>
        <v>2936.0761934008497</v>
      </c>
      <c r="E59" s="38">
        <f t="shared" si="3"/>
        <v>3.8462598133551129</v>
      </c>
      <c r="F59" s="38">
        <f t="shared" si="5"/>
        <v>636.01460559630891</v>
      </c>
      <c r="G59" s="39">
        <f t="shared" si="6"/>
        <v>0.80113378204919661</v>
      </c>
      <c r="H59" s="38">
        <f>SUM(F59:F$118)</f>
        <v>12839.749162768179</v>
      </c>
      <c r="I59" s="36">
        <f>SUM(G59:G$118)</f>
        <v>141.5277350579758</v>
      </c>
      <c r="K59" s="80" t="s">
        <v>39</v>
      </c>
      <c r="L59" s="10" t="s">
        <v>12</v>
      </c>
      <c r="M59" s="44">
        <f>L$4</f>
        <v>27</v>
      </c>
      <c r="N59" s="13" t="s">
        <v>7</v>
      </c>
      <c r="O59" s="44">
        <f>IF(L$5="Male",VLOOKUP(M59,A$19:I$118,8,FALSE),VLOOKUP(M59-3,A$19:I$118,8,FALSE))</f>
        <v>22849.286561352208</v>
      </c>
      <c r="P59" s="13" t="s">
        <v>26</v>
      </c>
      <c r="Q59" s="51">
        <f>(O61-O62)/O63</f>
        <v>18.414229220069256</v>
      </c>
    </row>
    <row r="60" spans="1:18" x14ac:dyDescent="0.3">
      <c r="A60" s="31">
        <v>40</v>
      </c>
      <c r="B60" s="25">
        <v>1.4E-3</v>
      </c>
      <c r="C60" s="37">
        <f t="shared" si="2"/>
        <v>0.99860000000000004</v>
      </c>
      <c r="D60" s="38">
        <f t="shared" si="4"/>
        <v>2932.2299335874945</v>
      </c>
      <c r="E60" s="38">
        <f t="shared" si="3"/>
        <v>4.1051219070224922</v>
      </c>
      <c r="F60" s="38">
        <f t="shared" si="5"/>
        <v>610.75137159901692</v>
      </c>
      <c r="G60" s="39">
        <f t="shared" si="6"/>
        <v>0.82216530792175357</v>
      </c>
      <c r="H60" s="38">
        <f>SUM(F60:F$118)</f>
        <v>12203.734557171871</v>
      </c>
      <c r="I60" s="36">
        <f>SUM(G60:G$118)</f>
        <v>140.72660127592661</v>
      </c>
      <c r="K60" s="81"/>
      <c r="L60" s="4" t="s">
        <v>21</v>
      </c>
      <c r="M60" s="45">
        <f>L$10</f>
        <v>1</v>
      </c>
      <c r="N60" s="5" t="s">
        <v>29</v>
      </c>
      <c r="O60" s="45">
        <f>IF(L$5="Male",VLOOKUP(M59+M60,A$19:I$118,8,FALSE),VLOOKUP(M59+M60-3,A$19:I$118,8,FALSE))</f>
        <v>21819.39831713889</v>
      </c>
      <c r="P60" s="9" t="s">
        <v>27</v>
      </c>
      <c r="Q60" s="52">
        <f>(O61-O62)/(O59-O60)</f>
        <v>18.414229220069398</v>
      </c>
    </row>
    <row r="61" spans="1:18" x14ac:dyDescent="0.3">
      <c r="A61" s="31">
        <v>41</v>
      </c>
      <c r="B61" s="25">
        <v>1.5100000000000001E-3</v>
      </c>
      <c r="C61" s="37">
        <f t="shared" si="2"/>
        <v>0.99848999999999999</v>
      </c>
      <c r="D61" s="38">
        <f t="shared" si="4"/>
        <v>2928.1248116804722</v>
      </c>
      <c r="E61" s="38">
        <f t="shared" si="3"/>
        <v>4.4214684656375134</v>
      </c>
      <c r="F61" s="38">
        <f t="shared" si="5"/>
        <v>586.43876892190224</v>
      </c>
      <c r="G61" s="39">
        <f t="shared" si="6"/>
        <v>0.85146398180006955</v>
      </c>
      <c r="H61" s="38">
        <f>SUM(F61:F$118)</f>
        <v>11592.983185572853</v>
      </c>
      <c r="I61" s="36">
        <f>SUM(G61:G$118)</f>
        <v>139.90443596800486</v>
      </c>
      <c r="K61" s="81"/>
      <c r="L61" s="5" t="s">
        <v>13</v>
      </c>
      <c r="M61" s="50">
        <f>L$8</f>
        <v>67</v>
      </c>
      <c r="N61" s="5" t="s">
        <v>24</v>
      </c>
      <c r="O61" s="45">
        <f>IF(L$5="Male",VLOOKUP(M59+M62,A$19:I$118,8,FALSE),VLOOKUP(M59+M62-3,A$19:I$118,8,FALSE))</f>
        <v>18965.648086452871</v>
      </c>
      <c r="P61" s="9" t="s">
        <v>18</v>
      </c>
      <c r="Q61" s="27">
        <f>M63*Q60</f>
        <v>184142.29220069398</v>
      </c>
    </row>
    <row r="62" spans="1:18" x14ac:dyDescent="0.3">
      <c r="A62" s="31">
        <v>42</v>
      </c>
      <c r="B62" s="25">
        <v>1.6199999999999999E-3</v>
      </c>
      <c r="C62" s="37">
        <f t="shared" si="2"/>
        <v>0.99838000000000005</v>
      </c>
      <c r="D62" s="38">
        <f t="shared" si="4"/>
        <v>2923.7033432148346</v>
      </c>
      <c r="E62" s="38">
        <f t="shared" si="3"/>
        <v>4.736399416008032</v>
      </c>
      <c r="F62" s="38">
        <f t="shared" si="5"/>
        <v>563.03196767387499</v>
      </c>
      <c r="G62" s="39">
        <f t="shared" si="6"/>
        <v>0.87703056503045917</v>
      </c>
      <c r="H62" s="38">
        <f>SUM(F62:F$118)</f>
        <v>11006.544416650951</v>
      </c>
      <c r="I62" s="36">
        <f>SUM(G62:G$118)</f>
        <v>139.0529719862048</v>
      </c>
      <c r="K62" s="81"/>
      <c r="L62" s="5" t="s">
        <v>17</v>
      </c>
      <c r="M62" s="50">
        <f>L$9</f>
        <v>4</v>
      </c>
      <c r="N62" s="5" t="s">
        <v>33</v>
      </c>
      <c r="O62" s="45">
        <f>IF(L$5="Male",VLOOKUP(M59+M61+M62,A$19:I$118,8,FALSE),VLOOKUP(M59+M61+M62-3,A$19:I$118,8,FALSE))</f>
        <v>1.049886454020114</v>
      </c>
      <c r="P62" s="5"/>
      <c r="Q62" s="16"/>
      <c r="R62" s="1"/>
    </row>
    <row r="63" spans="1:18" ht="15" thickBot="1" x14ac:dyDescent="0.35">
      <c r="A63" s="31">
        <v>43</v>
      </c>
      <c r="B63" s="25">
        <v>1.75E-3</v>
      </c>
      <c r="C63" s="37">
        <f t="shared" si="2"/>
        <v>0.99824999999999997</v>
      </c>
      <c r="D63" s="38">
        <f t="shared" si="4"/>
        <v>2918.9669437988264</v>
      </c>
      <c r="E63" s="38">
        <f t="shared" si="3"/>
        <v>5.1081921516479465</v>
      </c>
      <c r="F63" s="38">
        <f t="shared" si="5"/>
        <v>540.49986142908006</v>
      </c>
      <c r="G63" s="39">
        <f t="shared" si="6"/>
        <v>0.9094949591354714</v>
      </c>
      <c r="H63" s="38">
        <f>SUM(F63:F$118)</f>
        <v>10443.512448977075</v>
      </c>
      <c r="I63" s="36">
        <f>SUM(G63:G$118)</f>
        <v>138.17594142117434</v>
      </c>
      <c r="K63" s="82"/>
      <c r="L63" s="7" t="s">
        <v>28</v>
      </c>
      <c r="M63" s="53">
        <f>L$6</f>
        <v>10000</v>
      </c>
      <c r="N63" s="8" t="s">
        <v>5</v>
      </c>
      <c r="O63" s="47">
        <f>IF(L$5="Male",VLOOKUP(M59,A$19:I$118,6,FALSE),VLOOKUP(M59-3,A$19:I$118,6,FALSE))</f>
        <v>1029.8882442133261</v>
      </c>
      <c r="P63" s="7"/>
      <c r="Q63" s="17"/>
    </row>
    <row r="64" spans="1:18" x14ac:dyDescent="0.3">
      <c r="A64" s="31">
        <v>44</v>
      </c>
      <c r="B64" s="25">
        <v>1.9E-3</v>
      </c>
      <c r="C64" s="37">
        <f t="shared" si="2"/>
        <v>0.99809999999999999</v>
      </c>
      <c r="D64" s="38">
        <f t="shared" si="4"/>
        <v>2913.8587516471785</v>
      </c>
      <c r="E64" s="38">
        <f t="shared" si="3"/>
        <v>5.5363316281296386</v>
      </c>
      <c r="F64" s="38">
        <f t="shared" si="5"/>
        <v>518.8019102611338</v>
      </c>
      <c r="G64" s="39">
        <f t="shared" si="6"/>
        <v>0.94781118220784033</v>
      </c>
      <c r="H64" s="38">
        <f>SUM(F64:F$118)</f>
        <v>9903.0125875479971</v>
      </c>
      <c r="I64" s="36">
        <f>SUM(G64:G$118)</f>
        <v>137.26644646203886</v>
      </c>
    </row>
    <row r="65" spans="1:14" x14ac:dyDescent="0.3">
      <c r="A65" s="31">
        <v>45</v>
      </c>
      <c r="B65" s="25">
        <v>2.0600000000000002E-3</v>
      </c>
      <c r="C65" s="37">
        <f t="shared" si="2"/>
        <v>0.99794000000000005</v>
      </c>
      <c r="D65" s="38">
        <f t="shared" si="4"/>
        <v>2908.3224200190489</v>
      </c>
      <c r="E65" s="38">
        <f t="shared" si="3"/>
        <v>5.9911441852392411</v>
      </c>
      <c r="F65" s="38">
        <f t="shared" si="5"/>
        <v>497.90017945349769</v>
      </c>
      <c r="G65" s="39">
        <f t="shared" si="6"/>
        <v>0.98622535545596646</v>
      </c>
      <c r="H65" s="38">
        <f>SUM(F65:F$118)</f>
        <v>9384.2106772868647</v>
      </c>
      <c r="I65" s="36">
        <f>SUM(G65:G$118)</f>
        <v>136.318635279831</v>
      </c>
      <c r="L65" s="1"/>
      <c r="M65" s="1"/>
      <c r="N65" s="1"/>
    </row>
    <row r="66" spans="1:14" x14ac:dyDescent="0.3">
      <c r="A66" s="31">
        <v>46</v>
      </c>
      <c r="B66" s="25">
        <v>2.2300000000000002E-3</v>
      </c>
      <c r="C66" s="37">
        <f t="shared" si="2"/>
        <v>0.99777000000000005</v>
      </c>
      <c r="D66" s="38">
        <f t="shared" si="4"/>
        <v>2902.3312758338097</v>
      </c>
      <c r="E66" s="38">
        <f t="shared" si="3"/>
        <v>6.4721987451093961</v>
      </c>
      <c r="F66" s="38">
        <f t="shared" si="5"/>
        <v>477.76394719598403</v>
      </c>
      <c r="G66" s="39">
        <f t="shared" si="6"/>
        <v>1.0244361560067736</v>
      </c>
      <c r="H66" s="38">
        <f>SUM(F66:F$118)</f>
        <v>8886.3104978333668</v>
      </c>
      <c r="I66" s="36">
        <f>SUM(G66:G$118)</f>
        <v>135.33240992437504</v>
      </c>
    </row>
    <row r="67" spans="1:14" x14ac:dyDescent="0.3">
      <c r="A67" s="31">
        <v>47</v>
      </c>
      <c r="B67" s="25">
        <v>2.4299999999999999E-3</v>
      </c>
      <c r="C67" s="37">
        <f t="shared" si="2"/>
        <v>0.99756999999999996</v>
      </c>
      <c r="D67" s="38">
        <f t="shared" si="4"/>
        <v>2895.8590770887004</v>
      </c>
      <c r="E67" s="38">
        <f t="shared" si="3"/>
        <v>7.0369375573255413</v>
      </c>
      <c r="F67" s="38">
        <f t="shared" si="5"/>
        <v>458.36397460936251</v>
      </c>
      <c r="G67" s="39">
        <f t="shared" si="6"/>
        <v>1.070985056058414</v>
      </c>
      <c r="H67" s="38">
        <f>SUM(F67:F$118)</f>
        <v>8408.5465506373803</v>
      </c>
      <c r="I67" s="36">
        <f>SUM(G67:G$118)</f>
        <v>134.30797376836824</v>
      </c>
    </row>
    <row r="68" spans="1:14" x14ac:dyDescent="0.3">
      <c r="A68" s="31">
        <v>48</v>
      </c>
      <c r="B68" s="25">
        <v>2.64E-3</v>
      </c>
      <c r="C68" s="37">
        <f t="shared" si="2"/>
        <v>0.99736000000000002</v>
      </c>
      <c r="D68" s="38">
        <f t="shared" si="4"/>
        <v>2888.8221395313749</v>
      </c>
      <c r="E68" s="38">
        <f t="shared" si="3"/>
        <v>7.62649044836283</v>
      </c>
      <c r="F68" s="38">
        <f t="shared" si="5"/>
        <v>439.66360591448239</v>
      </c>
      <c r="G68" s="39">
        <f t="shared" si="6"/>
        <v>1.1160691534752245</v>
      </c>
      <c r="H68" s="38">
        <f>SUM(F68:F$118)</f>
        <v>7950.1825760280153</v>
      </c>
      <c r="I68" s="36">
        <f>SUM(G68:G$118)</f>
        <v>133.23698871230985</v>
      </c>
    </row>
    <row r="69" spans="1:14" x14ac:dyDescent="0.3">
      <c r="A69" s="31">
        <v>49</v>
      </c>
      <c r="B69" s="25">
        <v>2.8700000000000002E-3</v>
      </c>
      <c r="C69" s="37">
        <f t="shared" si="2"/>
        <v>0.99712999999999996</v>
      </c>
      <c r="D69" s="38">
        <f t="shared" si="4"/>
        <v>2881.1956490830121</v>
      </c>
      <c r="E69" s="38">
        <f t="shared" si="3"/>
        <v>8.2690315128682457</v>
      </c>
      <c r="F69" s="38">
        <f t="shared" si="5"/>
        <v>421.63739807198863</v>
      </c>
      <c r="G69" s="39">
        <f t="shared" si="6"/>
        <v>1.1635570504486608</v>
      </c>
      <c r="H69" s="38">
        <f>SUM(F69:F$118)</f>
        <v>7510.5189701135332</v>
      </c>
      <c r="I69" s="36">
        <f>SUM(G69:G$118)</f>
        <v>132.12091955883463</v>
      </c>
    </row>
    <row r="70" spans="1:14" x14ac:dyDescent="0.3">
      <c r="A70" s="31">
        <v>50</v>
      </c>
      <c r="B70" s="25">
        <v>3.1199999999999999E-3</v>
      </c>
      <c r="C70" s="37">
        <f t="shared" si="2"/>
        <v>0.99687999999999999</v>
      </c>
      <c r="D70" s="38">
        <f t="shared" si="4"/>
        <v>2872.9266175701437</v>
      </c>
      <c r="E70" s="38">
        <f t="shared" si="3"/>
        <v>8.9635310468188489</v>
      </c>
      <c r="F70" s="38">
        <f t="shared" si="5"/>
        <v>404.25701801877108</v>
      </c>
      <c r="G70" s="39">
        <f t="shared" si="6"/>
        <v>1.2127710540563132</v>
      </c>
      <c r="H70" s="38">
        <f>SUM(F70:F$118)</f>
        <v>7088.881572041545</v>
      </c>
      <c r="I70" s="36">
        <f>SUM(G70:G$118)</f>
        <v>130.95736250838596</v>
      </c>
    </row>
    <row r="71" spans="1:14" x14ac:dyDescent="0.3">
      <c r="A71" s="31">
        <v>51</v>
      </c>
      <c r="B71" s="25">
        <v>3.3899999999999998E-3</v>
      </c>
      <c r="C71" s="37">
        <f t="shared" si="2"/>
        <v>0.99661</v>
      </c>
      <c r="D71" s="38">
        <f t="shared" si="4"/>
        <v>2863.9630865233248</v>
      </c>
      <c r="E71" s="38">
        <f t="shared" si="3"/>
        <v>9.7088348633140704</v>
      </c>
      <c r="F71" s="38">
        <f t="shared" si="5"/>
        <v>387.49590011783891</v>
      </c>
      <c r="G71" s="39">
        <f t="shared" si="6"/>
        <v>1.2630875974994937</v>
      </c>
      <c r="H71" s="38">
        <f>SUM(F71:F$118)</f>
        <v>6684.6245540227728</v>
      </c>
      <c r="I71" s="36">
        <f>SUM(G71:G$118)</f>
        <v>129.74459145432968</v>
      </c>
    </row>
    <row r="72" spans="1:14" x14ac:dyDescent="0.3">
      <c r="A72" s="31">
        <v>52</v>
      </c>
      <c r="B72" s="25">
        <v>3.6900000000000001E-3</v>
      </c>
      <c r="C72" s="37">
        <f t="shared" si="2"/>
        <v>0.99631000000000003</v>
      </c>
      <c r="D72" s="38">
        <f t="shared" si="4"/>
        <v>2854.2542516600106</v>
      </c>
      <c r="E72" s="38">
        <f t="shared" si="3"/>
        <v>10.53219818862544</v>
      </c>
      <c r="F72" s="38">
        <f t="shared" si="5"/>
        <v>371.32912405426856</v>
      </c>
      <c r="G72" s="39">
        <f t="shared" si="6"/>
        <v>1.3175042959233185</v>
      </c>
      <c r="H72" s="38">
        <f>SUM(F72:F$118)</f>
        <v>6297.1286539049343</v>
      </c>
      <c r="I72" s="36">
        <f>SUM(G72:G$118)</f>
        <v>128.48150385683016</v>
      </c>
    </row>
    <row r="73" spans="1:14" x14ac:dyDescent="0.3">
      <c r="A73" s="31">
        <v>53</v>
      </c>
      <c r="B73" s="25">
        <v>4.0200000000000001E-3</v>
      </c>
      <c r="C73" s="37">
        <f t="shared" si="2"/>
        <v>0.99597999999999998</v>
      </c>
      <c r="D73" s="38">
        <f t="shared" si="4"/>
        <v>2843.7220534713852</v>
      </c>
      <c r="E73" s="38">
        <f t="shared" si="3"/>
        <v>11.431762654954969</v>
      </c>
      <c r="F73" s="38">
        <f t="shared" si="5"/>
        <v>355.72973037164269</v>
      </c>
      <c r="G73" s="39">
        <f t="shared" si="6"/>
        <v>1.3750322270134647</v>
      </c>
      <c r="H73" s="38">
        <f>SUM(F73:F$118)</f>
        <v>5925.7995298506657</v>
      </c>
      <c r="I73" s="36">
        <f>SUM(G73:G$118)</f>
        <v>127.16399956090686</v>
      </c>
    </row>
    <row r="74" spans="1:14" x14ac:dyDescent="0.3">
      <c r="A74" s="31">
        <v>54</v>
      </c>
      <c r="B74" s="25">
        <v>4.4000000000000003E-3</v>
      </c>
      <c r="C74" s="37">
        <f t="shared" si="2"/>
        <v>0.99560000000000004</v>
      </c>
      <c r="D74" s="38">
        <f t="shared" si="4"/>
        <v>2832.2902908164301</v>
      </c>
      <c r="E74" s="38">
        <f t="shared" si="3"/>
        <v>12.462077279592293</v>
      </c>
      <c r="F74" s="38">
        <f t="shared" si="5"/>
        <v>340.67278543802746</v>
      </c>
      <c r="G74" s="39">
        <f t="shared" si="6"/>
        <v>1.4413079383916547</v>
      </c>
      <c r="H74" s="38">
        <f>SUM(F74:F$118)</f>
        <v>5570.0697994790225</v>
      </c>
      <c r="I74" s="36">
        <f>SUM(G74:G$118)</f>
        <v>125.7889673338934</v>
      </c>
    </row>
    <row r="75" spans="1:14" x14ac:dyDescent="0.3">
      <c r="A75" s="31">
        <v>55</v>
      </c>
      <c r="B75" s="25">
        <v>4.81E-3</v>
      </c>
      <c r="C75" s="37">
        <f t="shared" si="2"/>
        <v>0.99519000000000002</v>
      </c>
      <c r="D75" s="38">
        <f t="shared" si="4"/>
        <v>2819.8282135368377</v>
      </c>
      <c r="E75" s="38">
        <f t="shared" si="3"/>
        <v>13.56337370711219</v>
      </c>
      <c r="F75" s="38">
        <f t="shared" si="5"/>
        <v>326.12867805971166</v>
      </c>
      <c r="G75" s="39">
        <f t="shared" si="6"/>
        <v>1.5083451360261662</v>
      </c>
      <c r="H75" s="38">
        <f>SUM(F75:F$118)</f>
        <v>5229.3970140409947</v>
      </c>
      <c r="I75" s="36">
        <f>SUM(G75:G$118)</f>
        <v>124.34765939550175</v>
      </c>
    </row>
    <row r="76" spans="1:14" x14ac:dyDescent="0.3">
      <c r="A76" s="31">
        <v>56</v>
      </c>
      <c r="B76" s="25">
        <v>5.28E-3</v>
      </c>
      <c r="C76" s="37">
        <f t="shared" si="2"/>
        <v>0.99472000000000005</v>
      </c>
      <c r="D76" s="38">
        <f t="shared" si="4"/>
        <v>2806.2648398297256</v>
      </c>
      <c r="E76" s="38">
        <f t="shared" si="3"/>
        <v>14.817078354300952</v>
      </c>
      <c r="F76" s="38">
        <f t="shared" si="5"/>
        <v>312.07692222908116</v>
      </c>
      <c r="G76" s="39">
        <f t="shared" si="6"/>
        <v>1.5843905282399506</v>
      </c>
      <c r="H76" s="38">
        <f>SUM(F76:F$118)</f>
        <v>4903.2683359812818</v>
      </c>
      <c r="I76" s="36">
        <f>SUM(G76:G$118)</f>
        <v>122.83931425947557</v>
      </c>
    </row>
    <row r="77" spans="1:14" x14ac:dyDescent="0.3">
      <c r="A77" s="31">
        <v>57</v>
      </c>
      <c r="B77" s="25">
        <v>5.7999999999999996E-3</v>
      </c>
      <c r="C77" s="37">
        <f t="shared" si="2"/>
        <v>0.99419999999999997</v>
      </c>
      <c r="D77" s="38">
        <f t="shared" si="4"/>
        <v>2791.4477614754246</v>
      </c>
      <c r="E77" s="38">
        <f t="shared" si="3"/>
        <v>16.190397016557462</v>
      </c>
      <c r="F77" s="38">
        <f t="shared" si="5"/>
        <v>298.48957315356887</v>
      </c>
      <c r="G77" s="39">
        <f t="shared" si="6"/>
        <v>1.6646533887410568</v>
      </c>
      <c r="H77" s="38">
        <f>SUM(F77:F$118)</f>
        <v>4591.1914137522017</v>
      </c>
      <c r="I77" s="36">
        <f>SUM(G77:G$118)</f>
        <v>121.25492373123564</v>
      </c>
    </row>
    <row r="78" spans="1:14" x14ac:dyDescent="0.3">
      <c r="A78" s="31">
        <v>58</v>
      </c>
      <c r="B78" s="25">
        <v>6.3899999999999998E-3</v>
      </c>
      <c r="C78" s="37">
        <f t="shared" si="2"/>
        <v>0.99360999999999999</v>
      </c>
      <c r="D78" s="38">
        <f t="shared" si="4"/>
        <v>2775.257364458867</v>
      </c>
      <c r="E78" s="38">
        <f t="shared" si="3"/>
        <v>17.73389455889216</v>
      </c>
      <c r="F78" s="38">
        <f t="shared" si="5"/>
        <v>285.34455156661352</v>
      </c>
      <c r="G78" s="39">
        <f t="shared" si="6"/>
        <v>1.7532227735679429</v>
      </c>
      <c r="H78" s="38">
        <f>SUM(F78:F$118)</f>
        <v>4292.7018405986328</v>
      </c>
      <c r="I78" s="36">
        <f>SUM(G78:G$118)</f>
        <v>119.59027034249456</v>
      </c>
    </row>
    <row r="79" spans="1:14" x14ac:dyDescent="0.3">
      <c r="A79" s="31">
        <v>59</v>
      </c>
      <c r="B79" s="25">
        <v>7.0400000000000003E-3</v>
      </c>
      <c r="C79" s="37">
        <f t="shared" si="2"/>
        <v>0.99295999999999995</v>
      </c>
      <c r="D79" s="38">
        <f t="shared" si="4"/>
        <v>2757.5234698999748</v>
      </c>
      <c r="E79" s="38">
        <f t="shared" si="3"/>
        <v>19.412965228095825</v>
      </c>
      <c r="F79" s="38">
        <f t="shared" si="5"/>
        <v>272.61653834817582</v>
      </c>
      <c r="G79" s="39">
        <f t="shared" si="6"/>
        <v>1.8454042595876519</v>
      </c>
      <c r="H79" s="38">
        <f>SUM(F79:F$118)</f>
        <v>4007.3572890320197</v>
      </c>
      <c r="I79" s="36">
        <f>SUM(G79:G$118)</f>
        <v>117.83704756892664</v>
      </c>
    </row>
    <row r="80" spans="1:14" x14ac:dyDescent="0.3">
      <c r="A80" s="31">
        <v>60</v>
      </c>
      <c r="B80" s="25">
        <v>7.7799999999999996E-3</v>
      </c>
      <c r="C80" s="37">
        <f t="shared" si="2"/>
        <v>0.99221999999999999</v>
      </c>
      <c r="D80" s="38">
        <f t="shared" si="4"/>
        <v>2738.110504671879</v>
      </c>
      <c r="E80" s="38">
        <f t="shared" si="3"/>
        <v>21.302499726347218</v>
      </c>
      <c r="F80" s="38">
        <f t="shared" si="5"/>
        <v>260.28588261365832</v>
      </c>
      <c r="G80" s="39">
        <f t="shared" si="6"/>
        <v>1.9471386218598665</v>
      </c>
      <c r="H80" s="38">
        <f>SUM(F80:F$118)</f>
        <v>3734.740750683844</v>
      </c>
      <c r="I80" s="36">
        <f>SUM(G80:G$118)</f>
        <v>115.99164330933897</v>
      </c>
    </row>
    <row r="81" spans="1:9" x14ac:dyDescent="0.3">
      <c r="A81" s="31">
        <v>61</v>
      </c>
      <c r="B81" s="25">
        <v>8.5900000000000004E-3</v>
      </c>
      <c r="C81" s="37">
        <f t="shared" si="2"/>
        <v>0.99141000000000001</v>
      </c>
      <c r="D81" s="38">
        <f t="shared" si="4"/>
        <v>2716.8080049455316</v>
      </c>
      <c r="E81" s="38">
        <f t="shared" si="3"/>
        <v>23.337380762482116</v>
      </c>
      <c r="F81" s="38">
        <f t="shared" si="5"/>
        <v>248.32774850665768</v>
      </c>
      <c r="G81" s="39">
        <f t="shared" si="6"/>
        <v>2.0510916919924895</v>
      </c>
      <c r="H81" s="38">
        <f>SUM(F81:F$118)</f>
        <v>3474.4548680701855</v>
      </c>
      <c r="I81" s="36">
        <f>SUM(G81:G$118)</f>
        <v>114.0445046874791</v>
      </c>
    </row>
    <row r="82" spans="1:9" x14ac:dyDescent="0.3">
      <c r="A82" s="31">
        <v>62</v>
      </c>
      <c r="B82" s="25">
        <v>9.4800000000000006E-3</v>
      </c>
      <c r="C82" s="37">
        <f t="shared" si="2"/>
        <v>0.99051999999999996</v>
      </c>
      <c r="D82" s="38">
        <f t="shared" si="4"/>
        <v>2693.4706241830495</v>
      </c>
      <c r="E82" s="38">
        <f t="shared" si="3"/>
        <v>25.534101517255312</v>
      </c>
      <c r="F82" s="38">
        <f t="shared" si="5"/>
        <v>236.72558956440906</v>
      </c>
      <c r="G82" s="39">
        <f t="shared" si="6"/>
        <v>2.1578447971832677</v>
      </c>
      <c r="H82" s="38">
        <f>SUM(F82:F$118)</f>
        <v>3226.1271195635277</v>
      </c>
      <c r="I82" s="36">
        <f>SUM(G82:G$118)</f>
        <v>111.99341299548661</v>
      </c>
    </row>
    <row r="83" spans="1:9" x14ac:dyDescent="0.3">
      <c r="A83" s="31">
        <v>63</v>
      </c>
      <c r="B83" s="25">
        <v>1.047E-2</v>
      </c>
      <c r="C83" s="37">
        <f t="shared" si="2"/>
        <v>0.98953000000000002</v>
      </c>
      <c r="D83" s="38">
        <f t="shared" si="4"/>
        <v>2667.9365226657942</v>
      </c>
      <c r="E83" s="38">
        <f t="shared" si="3"/>
        <v>27.933295392310864</v>
      </c>
      <c r="F83" s="38">
        <f t="shared" si="5"/>
        <v>225.46291439936394</v>
      </c>
      <c r="G83" s="39">
        <f t="shared" si="6"/>
        <v>2.2698045324628273</v>
      </c>
      <c r="H83" s="38">
        <f>SUM(F83:F$118)</f>
        <v>2989.4015299991188</v>
      </c>
      <c r="I83" s="36">
        <f>SUM(G83:G$118)</f>
        <v>109.83556819830335</v>
      </c>
    </row>
    <row r="84" spans="1:9" x14ac:dyDescent="0.3">
      <c r="A84" s="31">
        <v>64</v>
      </c>
      <c r="B84" s="25">
        <v>1.1560000000000001E-2</v>
      </c>
      <c r="C84" s="37">
        <f t="shared" si="2"/>
        <v>0.98843999999999999</v>
      </c>
      <c r="D84" s="38">
        <f t="shared" si="4"/>
        <v>2640.0032272734834</v>
      </c>
      <c r="E84" s="38">
        <f t="shared" si="3"/>
        <v>30.51843730728147</v>
      </c>
      <c r="F84" s="38">
        <f t="shared" ref="F84:F118" si="7">D84*(C$16^A84)</f>
        <v>214.52145931307942</v>
      </c>
      <c r="G84" s="39">
        <f t="shared" ref="G84:G118" si="8">E84*(C$16^(A84+1))</f>
        <v>2.3844885285184598</v>
      </c>
      <c r="H84" s="38">
        <f>SUM(F84:F$118)</f>
        <v>2763.9386155997545</v>
      </c>
      <c r="I84" s="36">
        <f>SUM(G84:G$118)</f>
        <v>107.56576366584054</v>
      </c>
    </row>
    <row r="85" spans="1:9" x14ac:dyDescent="0.3">
      <c r="A85" s="31">
        <v>65</v>
      </c>
      <c r="B85" s="25">
        <v>1.2749999999999999E-2</v>
      </c>
      <c r="C85" s="37">
        <f t="shared" ref="C85:C118" si="9">1-B85</f>
        <v>0.98724999999999996</v>
      </c>
      <c r="D85" s="38">
        <f t="shared" si="4"/>
        <v>2609.4847899662018</v>
      </c>
      <c r="E85" s="38">
        <f t="shared" ref="E85:E118" si="10">D85*B85</f>
        <v>33.270931072069068</v>
      </c>
      <c r="F85" s="38">
        <f t="shared" si="7"/>
        <v>203.88614542636557</v>
      </c>
      <c r="G85" s="39">
        <f t="shared" si="8"/>
        <v>2.4995657251790004</v>
      </c>
      <c r="H85" s="38">
        <f>SUM(F85:F$118)</f>
        <v>2549.4171562866759</v>
      </c>
      <c r="I85" s="36">
        <f>SUM(G85:G$118)</f>
        <v>105.18127513732207</v>
      </c>
    </row>
    <row r="86" spans="1:9" x14ac:dyDescent="0.3">
      <c r="A86" s="31">
        <v>66</v>
      </c>
      <c r="B86" s="25">
        <v>1.4069999999999999E-2</v>
      </c>
      <c r="C86" s="37">
        <f t="shared" si="9"/>
        <v>0.98592999999999997</v>
      </c>
      <c r="D86" s="38">
        <f t="shared" ref="D86:D118" si="11">D85-E85</f>
        <v>2576.2138588941325</v>
      </c>
      <c r="E86" s="38">
        <f t="shared" si="10"/>
        <v>36.247328994640441</v>
      </c>
      <c r="F86" s="38">
        <f t="shared" si="7"/>
        <v>193.54480487709554</v>
      </c>
      <c r="G86" s="39">
        <f t="shared" si="8"/>
        <v>2.6184378890583981</v>
      </c>
      <c r="H86" s="38">
        <f>SUM(F86:F$118)</f>
        <v>2345.5310108603103</v>
      </c>
      <c r="I86" s="36">
        <f>SUM(G86:G$118)</f>
        <v>102.68170941214305</v>
      </c>
    </row>
    <row r="87" spans="1:9" x14ac:dyDescent="0.3">
      <c r="A87" s="31">
        <v>67</v>
      </c>
      <c r="B87" s="25">
        <v>1.554E-2</v>
      </c>
      <c r="C87" s="37">
        <f t="shared" si="9"/>
        <v>0.98446</v>
      </c>
      <c r="D87" s="38">
        <f t="shared" si="11"/>
        <v>2539.9665298994919</v>
      </c>
      <c r="E87" s="38">
        <f t="shared" si="10"/>
        <v>39.471079874638107</v>
      </c>
      <c r="F87" s="38">
        <f t="shared" si="7"/>
        <v>183.48233603122577</v>
      </c>
      <c r="G87" s="39">
        <f t="shared" si="8"/>
        <v>2.7416495210819694</v>
      </c>
      <c r="H87" s="38">
        <f>SUM(F87:F$118)</f>
        <v>2151.9862059832149</v>
      </c>
      <c r="I87" s="36">
        <f>SUM(G87:G$118)</f>
        <v>100.06327152308467</v>
      </c>
    </row>
    <row r="88" spans="1:9" x14ac:dyDescent="0.3">
      <c r="A88" s="31">
        <v>68</v>
      </c>
      <c r="B88" s="25">
        <v>1.7229999999999999E-2</v>
      </c>
      <c r="C88" s="37">
        <f t="shared" si="9"/>
        <v>0.98277000000000003</v>
      </c>
      <c r="D88" s="38">
        <f t="shared" si="11"/>
        <v>2500.4954500248537</v>
      </c>
      <c r="E88" s="38">
        <f t="shared" si="10"/>
        <v>43.083536603928223</v>
      </c>
      <c r="F88" s="38">
        <f t="shared" si="7"/>
        <v>173.68367358586585</v>
      </c>
      <c r="G88" s="39">
        <f t="shared" si="8"/>
        <v>2.8774708614273727</v>
      </c>
      <c r="H88" s="38">
        <f>SUM(F88:F$118)</f>
        <v>1968.5038699519894</v>
      </c>
      <c r="I88" s="36">
        <f>SUM(G88:G$118)</f>
        <v>97.321622002002698</v>
      </c>
    </row>
    <row r="89" spans="1:9" x14ac:dyDescent="0.3">
      <c r="A89" s="31">
        <v>69</v>
      </c>
      <c r="B89" s="25">
        <v>1.9199999999999998E-2</v>
      </c>
      <c r="C89" s="37">
        <f t="shared" si="9"/>
        <v>0.98080000000000001</v>
      </c>
      <c r="D89" s="38">
        <f t="shared" si="11"/>
        <v>2457.4119134209254</v>
      </c>
      <c r="E89" s="38">
        <f t="shared" si="10"/>
        <v>47.182308737681765</v>
      </c>
      <c r="F89" s="38">
        <f t="shared" si="7"/>
        <v>164.12606143267439</v>
      </c>
      <c r="G89" s="39">
        <f t="shared" si="8"/>
        <v>3.0300195956801419</v>
      </c>
      <c r="H89" s="38">
        <f>SUM(F89:F$118)</f>
        <v>1794.8201963661236</v>
      </c>
      <c r="I89" s="36">
        <f>SUM(G89:G$118)</f>
        <v>94.444151140575315</v>
      </c>
    </row>
    <row r="90" spans="1:9" x14ac:dyDescent="0.3">
      <c r="A90" s="31">
        <v>70</v>
      </c>
      <c r="B90" s="25">
        <v>2.1479999999999999E-2</v>
      </c>
      <c r="C90" s="37">
        <f t="shared" si="9"/>
        <v>0.97852000000000006</v>
      </c>
      <c r="D90" s="38">
        <f t="shared" si="11"/>
        <v>2410.2296046832435</v>
      </c>
      <c r="E90" s="38">
        <f t="shared" si="10"/>
        <v>51.771731908596067</v>
      </c>
      <c r="F90" s="38">
        <f t="shared" si="7"/>
        <v>154.78350101266057</v>
      </c>
      <c r="G90" s="39">
        <f t="shared" si="8"/>
        <v>3.1968746170691817</v>
      </c>
      <c r="H90" s="38">
        <f>SUM(F90:F$118)</f>
        <v>1630.6941349334493</v>
      </c>
      <c r="I90" s="36">
        <f>SUM(G90:G$118)</f>
        <v>91.414131544895184</v>
      </c>
    </row>
    <row r="91" spans="1:9" x14ac:dyDescent="0.3">
      <c r="A91" s="31">
        <v>71</v>
      </c>
      <c r="B91" s="25">
        <v>2.4150000000000001E-2</v>
      </c>
      <c r="C91" s="37">
        <f t="shared" si="9"/>
        <v>0.97585</v>
      </c>
      <c r="D91" s="38">
        <f t="shared" si="11"/>
        <v>2358.4578727746475</v>
      </c>
      <c r="E91" s="38">
        <f t="shared" si="10"/>
        <v>56.956757627507741</v>
      </c>
      <c r="F91" s="38">
        <f t="shared" si="7"/>
        <v>145.63341481818136</v>
      </c>
      <c r="G91" s="39">
        <f t="shared" si="8"/>
        <v>3.3817759306337307</v>
      </c>
      <c r="H91" s="38">
        <f>SUM(F91:F$118)</f>
        <v>1475.9106339207883</v>
      </c>
      <c r="I91" s="36">
        <f>SUM(G91:G$118)</f>
        <v>88.217256927825986</v>
      </c>
    </row>
    <row r="92" spans="1:9" x14ac:dyDescent="0.3">
      <c r="A92" s="31">
        <v>72</v>
      </c>
      <c r="B92" s="25">
        <v>2.724E-2</v>
      </c>
      <c r="C92" s="37">
        <f t="shared" si="9"/>
        <v>0.97275999999999996</v>
      </c>
      <c r="D92" s="38">
        <f t="shared" si="11"/>
        <v>2301.5011151471399</v>
      </c>
      <c r="E92" s="38">
        <f t="shared" si="10"/>
        <v>62.692890376608091</v>
      </c>
      <c r="F92" s="38">
        <f t="shared" si="7"/>
        <v>136.65035370223296</v>
      </c>
      <c r="G92" s="39">
        <f t="shared" si="8"/>
        <v>3.5791881104315633</v>
      </c>
      <c r="H92" s="38">
        <f>SUM(F92:F$118)</f>
        <v>1330.277219102607</v>
      </c>
      <c r="I92" s="36">
        <f>SUM(G92:G$118)</f>
        <v>84.835480997192278</v>
      </c>
    </row>
    <row r="93" spans="1:9" x14ac:dyDescent="0.3">
      <c r="A93" s="31">
        <v>73</v>
      </c>
      <c r="B93" s="25">
        <v>3.0640000000000001E-2</v>
      </c>
      <c r="C93" s="37">
        <f t="shared" si="9"/>
        <v>0.96936</v>
      </c>
      <c r="D93" s="38">
        <f t="shared" si="11"/>
        <v>2238.808224770532</v>
      </c>
      <c r="E93" s="38">
        <f t="shared" si="10"/>
        <v>68.597084006969098</v>
      </c>
      <c r="F93" s="38">
        <f t="shared" si="7"/>
        <v>127.81538275710014</v>
      </c>
      <c r="G93" s="39">
        <f t="shared" si="8"/>
        <v>3.7656378150745651</v>
      </c>
      <c r="H93" s="38">
        <f>SUM(F93:F$118)</f>
        <v>1193.6268654003738</v>
      </c>
      <c r="I93" s="36">
        <f>SUM(G93:G$118)</f>
        <v>81.256292886760718</v>
      </c>
    </row>
    <row r="94" spans="1:9" x14ac:dyDescent="0.3">
      <c r="A94" s="31">
        <v>74</v>
      </c>
      <c r="B94" s="25">
        <v>3.4459999999999998E-2</v>
      </c>
      <c r="C94" s="37">
        <f t="shared" si="9"/>
        <v>0.96553999999999995</v>
      </c>
      <c r="D94" s="38">
        <f t="shared" si="11"/>
        <v>2170.211140763563</v>
      </c>
      <c r="E94" s="38">
        <f t="shared" si="10"/>
        <v>74.785475910712378</v>
      </c>
      <c r="F94" s="38">
        <f t="shared" si="7"/>
        <v>119.13376868213709</v>
      </c>
      <c r="G94" s="39">
        <f t="shared" si="8"/>
        <v>3.94745160460235</v>
      </c>
      <c r="H94" s="38">
        <f>SUM(F94:F$118)</f>
        <v>1065.8114826432738</v>
      </c>
      <c r="I94" s="36">
        <f>SUM(G94:G$118)</f>
        <v>77.490655071686149</v>
      </c>
    </row>
    <row r="95" spans="1:9" x14ac:dyDescent="0.3">
      <c r="A95" s="31">
        <v>75</v>
      </c>
      <c r="B95" s="25">
        <v>3.8690000000000002E-2</v>
      </c>
      <c r="C95" s="37">
        <f t="shared" si="9"/>
        <v>0.96131</v>
      </c>
      <c r="D95" s="38">
        <f t="shared" si="11"/>
        <v>2095.4256648528508</v>
      </c>
      <c r="E95" s="38">
        <f t="shared" si="10"/>
        <v>81.072018973156801</v>
      </c>
      <c r="F95" s="38">
        <f t="shared" si="7"/>
        <v>110.60424905129871</v>
      </c>
      <c r="G95" s="39">
        <f t="shared" si="8"/>
        <v>4.1146907651872562</v>
      </c>
      <c r="H95" s="38">
        <f>SUM(F95:F$118)</f>
        <v>946.67771396113687</v>
      </c>
      <c r="I95" s="36">
        <f>SUM(G95:G$118)</f>
        <v>73.543203467083799</v>
      </c>
    </row>
    <row r="96" spans="1:9" x14ac:dyDescent="0.3">
      <c r="A96" s="31">
        <v>76</v>
      </c>
      <c r="B96" s="25">
        <v>4.3380000000000002E-2</v>
      </c>
      <c r="C96" s="37">
        <f t="shared" si="9"/>
        <v>0.95662000000000003</v>
      </c>
      <c r="D96" s="38">
        <f t="shared" si="11"/>
        <v>2014.3536458796939</v>
      </c>
      <c r="E96" s="38">
        <f t="shared" si="10"/>
        <v>87.382661158261129</v>
      </c>
      <c r="F96" s="38">
        <f t="shared" si="7"/>
        <v>102.23554870721533</v>
      </c>
      <c r="G96" s="39">
        <f t="shared" si="8"/>
        <v>4.2644020220375003</v>
      </c>
      <c r="H96" s="38">
        <f>SUM(F96:F$118)</f>
        <v>836.07346490983821</v>
      </c>
      <c r="I96" s="36">
        <f>SUM(G96:G$118)</f>
        <v>69.428512701896565</v>
      </c>
    </row>
    <row r="97" spans="1:9" x14ac:dyDescent="0.3">
      <c r="A97" s="31">
        <v>77</v>
      </c>
      <c r="B97" s="25">
        <v>4.8550000000000003E-2</v>
      </c>
      <c r="C97" s="37">
        <f t="shared" si="9"/>
        <v>0.95145000000000002</v>
      </c>
      <c r="D97" s="38">
        <f t="shared" si="11"/>
        <v>1926.9709847214328</v>
      </c>
      <c r="E97" s="38">
        <f t="shared" si="10"/>
        <v>93.554441308225563</v>
      </c>
      <c r="F97" s="38">
        <f t="shared" si="7"/>
        <v>94.039010196438753</v>
      </c>
      <c r="G97" s="39">
        <f t="shared" si="8"/>
        <v>4.3899941779202898</v>
      </c>
      <c r="H97" s="38">
        <f>SUM(F97:F$118)</f>
        <v>733.83791620262298</v>
      </c>
      <c r="I97" s="36">
        <f>SUM(G97:G$118)</f>
        <v>65.164110679859064</v>
      </c>
    </row>
    <row r="98" spans="1:9" x14ac:dyDescent="0.3">
      <c r="A98" s="31">
        <v>78</v>
      </c>
      <c r="B98" s="25">
        <v>5.425E-2</v>
      </c>
      <c r="C98" s="37">
        <f t="shared" si="9"/>
        <v>0.94574999999999998</v>
      </c>
      <c r="D98" s="38">
        <f t="shared" si="11"/>
        <v>1833.4165434132074</v>
      </c>
      <c r="E98" s="38">
        <f t="shared" si="10"/>
        <v>99.462847480166502</v>
      </c>
      <c r="F98" s="38">
        <f t="shared" si="7"/>
        <v>86.032131010963127</v>
      </c>
      <c r="G98" s="39">
        <f t="shared" si="8"/>
        <v>4.4877337570622595</v>
      </c>
      <c r="H98" s="38">
        <f>SUM(F98:F$118)</f>
        <v>639.79890600618421</v>
      </c>
      <c r="I98" s="36">
        <f>SUM(G98:G$118)</f>
        <v>60.774116501938757</v>
      </c>
    </row>
    <row r="99" spans="1:9" x14ac:dyDescent="0.3">
      <c r="A99" s="31">
        <v>79</v>
      </c>
      <c r="B99" s="25">
        <v>6.0519999999999997E-2</v>
      </c>
      <c r="C99" s="37">
        <f t="shared" si="9"/>
        <v>0.93947999999999998</v>
      </c>
      <c r="D99" s="38">
        <f t="shared" si="11"/>
        <v>1733.9536959330408</v>
      </c>
      <c r="E99" s="38">
        <f t="shared" si="10"/>
        <v>104.93887767786762</v>
      </c>
      <c r="F99" s="38">
        <f t="shared" si="7"/>
        <v>78.235469138094601</v>
      </c>
      <c r="G99" s="39">
        <f t="shared" si="8"/>
        <v>4.5527024925360422</v>
      </c>
      <c r="H99" s="38">
        <f>SUM(F99:F$118)</f>
        <v>553.76677499522111</v>
      </c>
      <c r="I99" s="36">
        <f>SUM(G99:G$118)</f>
        <v>56.286382744876498</v>
      </c>
    </row>
    <row r="100" spans="1:9" x14ac:dyDescent="0.3">
      <c r="A100" s="31">
        <v>80</v>
      </c>
      <c r="B100" s="25">
        <v>6.7409999999999998E-2</v>
      </c>
      <c r="C100" s="37">
        <f t="shared" si="9"/>
        <v>0.93259000000000003</v>
      </c>
      <c r="D100" s="38">
        <f t="shared" si="11"/>
        <v>1629.0148182551732</v>
      </c>
      <c r="E100" s="38">
        <f t="shared" si="10"/>
        <v>109.81188889858122</v>
      </c>
      <c r="F100" s="38">
        <f t="shared" si="7"/>
        <v>70.673710140247209</v>
      </c>
      <c r="G100" s="39">
        <f t="shared" si="8"/>
        <v>4.580879615917369</v>
      </c>
      <c r="H100" s="38">
        <f>SUM(F100:F$118)</f>
        <v>475.53130585712648</v>
      </c>
      <c r="I100" s="36">
        <f>SUM(G100:G$118)</f>
        <v>51.733680252340456</v>
      </c>
    </row>
    <row r="101" spans="1:9" x14ac:dyDescent="0.3">
      <c r="A101" s="31">
        <v>81</v>
      </c>
      <c r="B101" s="25">
        <v>7.4969999999999995E-2</v>
      </c>
      <c r="C101" s="37">
        <f t="shared" si="9"/>
        <v>0.92503000000000002</v>
      </c>
      <c r="D101" s="38">
        <f t="shared" si="11"/>
        <v>1519.202929356592</v>
      </c>
      <c r="E101" s="38">
        <f t="shared" si="10"/>
        <v>113.89464361386369</v>
      </c>
      <c r="F101" s="38">
        <f t="shared" si="7"/>
        <v>63.374610903551094</v>
      </c>
      <c r="G101" s="39">
        <f t="shared" si="8"/>
        <v>4.5684563263838696</v>
      </c>
      <c r="H101" s="38">
        <f>SUM(F101:F$118)</f>
        <v>404.85759571687925</v>
      </c>
      <c r="I101" s="36">
        <f>SUM(G101:G$118)</f>
        <v>47.152800636423081</v>
      </c>
    </row>
    <row r="102" spans="1:9" x14ac:dyDescent="0.3">
      <c r="A102" s="31">
        <v>82</v>
      </c>
      <c r="B102" s="25">
        <v>8.3229999999999998E-2</v>
      </c>
      <c r="C102" s="37">
        <f t="shared" si="9"/>
        <v>0.91676999999999997</v>
      </c>
      <c r="D102" s="38">
        <f t="shared" si="11"/>
        <v>1405.3082857427282</v>
      </c>
      <c r="E102" s="38">
        <f t="shared" si="10"/>
        <v>116.96380862236727</v>
      </c>
      <c r="F102" s="38">
        <f t="shared" si="7"/>
        <v>56.36866954241524</v>
      </c>
      <c r="G102" s="39">
        <f t="shared" si="8"/>
        <v>4.511119582706943</v>
      </c>
      <c r="H102" s="38">
        <f>SUM(F102:F$118)</f>
        <v>341.48298481332813</v>
      </c>
      <c r="I102" s="36">
        <f>SUM(G102:G$118)</f>
        <v>42.584344310039207</v>
      </c>
    </row>
    <row r="103" spans="1:9" x14ac:dyDescent="0.3">
      <c r="A103" s="31">
        <v>83</v>
      </c>
      <c r="B103" s="25">
        <v>9.2249999999999999E-2</v>
      </c>
      <c r="C103" s="37">
        <f t="shared" si="9"/>
        <v>0.90775000000000006</v>
      </c>
      <c r="D103" s="38">
        <f t="shared" si="11"/>
        <v>1288.344477120361</v>
      </c>
      <c r="E103" s="38">
        <f t="shared" si="10"/>
        <v>118.8497780143533</v>
      </c>
      <c r="F103" s="38">
        <f t="shared" si="7"/>
        <v>49.689524208076946</v>
      </c>
      <c r="G103" s="39">
        <f t="shared" si="8"/>
        <v>4.4075563540337477</v>
      </c>
      <c r="H103" s="38">
        <f>SUM(F103:F$118)</f>
        <v>285.11431527091293</v>
      </c>
      <c r="I103" s="36">
        <f>SUM(G103:G$118)</f>
        <v>38.073224727332267</v>
      </c>
    </row>
    <row r="104" spans="1:9" x14ac:dyDescent="0.3">
      <c r="A104" s="31">
        <v>84</v>
      </c>
      <c r="B104" s="25">
        <v>0.10209</v>
      </c>
      <c r="C104" s="37">
        <f t="shared" si="9"/>
        <v>0.89790999999999999</v>
      </c>
      <c r="D104" s="38">
        <f t="shared" si="11"/>
        <v>1169.4946991060078</v>
      </c>
      <c r="E104" s="38">
        <f t="shared" si="10"/>
        <v>119.39371383173234</v>
      </c>
      <c r="F104" s="38">
        <f t="shared" si="7"/>
        <v>43.370832307578695</v>
      </c>
      <c r="G104" s="39">
        <f t="shared" si="8"/>
        <v>4.2574310291160664</v>
      </c>
      <c r="H104" s="38">
        <f>SUM(F104:F$118)</f>
        <v>235.42479106283596</v>
      </c>
      <c r="I104" s="36">
        <f>SUM(G104:G$118)</f>
        <v>33.665668373298523</v>
      </c>
    </row>
    <row r="105" spans="1:9" x14ac:dyDescent="0.3">
      <c r="A105" s="31">
        <v>85</v>
      </c>
      <c r="B105" s="25">
        <v>0.11279</v>
      </c>
      <c r="C105" s="37">
        <f t="shared" si="9"/>
        <v>0.88721000000000005</v>
      </c>
      <c r="D105" s="38">
        <f t="shared" si="11"/>
        <v>1050.1009852742754</v>
      </c>
      <c r="E105" s="38">
        <f t="shared" si="10"/>
        <v>118.44089012908553</v>
      </c>
      <c r="F105" s="38">
        <f t="shared" si="7"/>
        <v>37.445292343555757</v>
      </c>
      <c r="G105" s="39">
        <f t="shared" si="8"/>
        <v>4.0610139648362047</v>
      </c>
      <c r="H105" s="38">
        <f>SUM(F105:F$118)</f>
        <v>192.05395875525724</v>
      </c>
      <c r="I105" s="36">
        <f>SUM(G105:G$118)</f>
        <v>29.40823734418246</v>
      </c>
    </row>
    <row r="106" spans="1:9" x14ac:dyDescent="0.3">
      <c r="A106" s="31">
        <v>86</v>
      </c>
      <c r="B106" s="25">
        <v>0.12442</v>
      </c>
      <c r="C106" s="37">
        <f t="shared" si="9"/>
        <v>0.87558000000000002</v>
      </c>
      <c r="D106" s="38">
        <f t="shared" si="11"/>
        <v>931.66009514518987</v>
      </c>
      <c r="E106" s="38">
        <f t="shared" si="10"/>
        <v>115.91714903796452</v>
      </c>
      <c r="F106" s="38">
        <f t="shared" si="7"/>
        <v>31.944074827044322</v>
      </c>
      <c r="G106" s="39">
        <f t="shared" si="8"/>
        <v>3.8216171057508217</v>
      </c>
      <c r="H106" s="38">
        <f>SUM(F106:F$118)</f>
        <v>154.60866641170148</v>
      </c>
      <c r="I106" s="36">
        <f>SUM(G106:G$118)</f>
        <v>25.347223379346254</v>
      </c>
    </row>
    <row r="107" spans="1:9" x14ac:dyDescent="0.3">
      <c r="A107" s="31">
        <v>87</v>
      </c>
      <c r="B107" s="25">
        <v>0.13700999999999999</v>
      </c>
      <c r="C107" s="37">
        <f t="shared" si="9"/>
        <v>0.86299000000000003</v>
      </c>
      <c r="D107" s="38">
        <f t="shared" si="11"/>
        <v>815.74294610722541</v>
      </c>
      <c r="E107" s="38">
        <f t="shared" si="10"/>
        <v>111.76494104615095</v>
      </c>
      <c r="F107" s="38">
        <f t="shared" si="7"/>
        <v>26.893839458714876</v>
      </c>
      <c r="G107" s="39">
        <f t="shared" si="8"/>
        <v>3.5430047540755041</v>
      </c>
      <c r="H107" s="38">
        <f>SUM(F107:F$118)</f>
        <v>122.66459158465722</v>
      </c>
      <c r="I107" s="36">
        <f>SUM(G107:G$118)</f>
        <v>21.525606273595432</v>
      </c>
    </row>
    <row r="108" spans="1:9" x14ac:dyDescent="0.3">
      <c r="A108" s="31">
        <v>88</v>
      </c>
      <c r="B108" s="25">
        <v>0.15065000000000001</v>
      </c>
      <c r="C108" s="37">
        <f t="shared" si="9"/>
        <v>0.84935000000000005</v>
      </c>
      <c r="D108" s="38">
        <f t="shared" si="11"/>
        <v>703.97800506107444</v>
      </c>
      <c r="E108" s="38">
        <f t="shared" si="10"/>
        <v>106.05428646245088</v>
      </c>
      <c r="F108" s="38">
        <f t="shared" si="7"/>
        <v>22.316456263919562</v>
      </c>
      <c r="G108" s="39">
        <f t="shared" si="8"/>
        <v>3.2326674386148873</v>
      </c>
      <c r="H108" s="38">
        <f>SUM(F108:F$118)</f>
        <v>95.770752125942337</v>
      </c>
      <c r="I108" s="36">
        <f>SUM(G108:G$118)</f>
        <v>17.982601519519928</v>
      </c>
    </row>
    <row r="109" spans="1:9" x14ac:dyDescent="0.3">
      <c r="A109" s="31">
        <v>89</v>
      </c>
      <c r="B109" s="25">
        <v>0.16536000000000001</v>
      </c>
      <c r="C109" s="37">
        <f t="shared" si="9"/>
        <v>0.83464000000000005</v>
      </c>
      <c r="D109" s="38">
        <f t="shared" si="11"/>
        <v>597.92371859862351</v>
      </c>
      <c r="E109" s="38">
        <f t="shared" si="10"/>
        <v>98.87266610746839</v>
      </c>
      <c r="F109" s="38">
        <f t="shared" si="7"/>
        <v>18.225463584384691</v>
      </c>
      <c r="G109" s="39">
        <f t="shared" si="8"/>
        <v>2.8978487099171657</v>
      </c>
      <c r="H109" s="38">
        <f>SUM(F109:F$118)</f>
        <v>73.454295862022761</v>
      </c>
      <c r="I109" s="36">
        <f>SUM(G109:G$118)</f>
        <v>14.749934080905041</v>
      </c>
    </row>
    <row r="110" spans="1:9" x14ac:dyDescent="0.3">
      <c r="A110" s="31">
        <v>90</v>
      </c>
      <c r="B110" s="25">
        <v>0.18123</v>
      </c>
      <c r="C110" s="37">
        <f t="shared" si="9"/>
        <v>0.81877</v>
      </c>
      <c r="D110" s="38">
        <f t="shared" si="11"/>
        <v>499.05105249115513</v>
      </c>
      <c r="E110" s="38">
        <f t="shared" si="10"/>
        <v>90.443022242972049</v>
      </c>
      <c r="F110" s="38">
        <f t="shared" si="7"/>
        <v>14.626635505837342</v>
      </c>
      <c r="G110" s="39">
        <f t="shared" si="8"/>
        <v>2.5488318776181744</v>
      </c>
      <c r="H110" s="38">
        <f>SUM(F110:F$118)</f>
        <v>55.228832277638062</v>
      </c>
      <c r="I110" s="36">
        <f>SUM(G110:G$118)</f>
        <v>11.852085370987874</v>
      </c>
    </row>
    <row r="111" spans="1:9" x14ac:dyDescent="0.3">
      <c r="A111" s="31">
        <v>91</v>
      </c>
      <c r="B111" s="25">
        <v>0.19828999999999999</v>
      </c>
      <c r="C111" s="37">
        <f t="shared" si="9"/>
        <v>0.80171000000000003</v>
      </c>
      <c r="D111" s="38">
        <f t="shared" si="11"/>
        <v>408.60803024818307</v>
      </c>
      <c r="E111" s="38">
        <f t="shared" si="10"/>
        <v>81.022886317912224</v>
      </c>
      <c r="F111" s="38">
        <f t="shared" si="7"/>
        <v>11.5152407241485</v>
      </c>
      <c r="G111" s="39">
        <f t="shared" si="8"/>
        <v>2.1955356569148132</v>
      </c>
      <c r="H111" s="38">
        <f>SUM(F111:F$118)</f>
        <v>40.60219677180072</v>
      </c>
      <c r="I111" s="36">
        <f>SUM(G111:G$118)</f>
        <v>9.3032534933696986</v>
      </c>
    </row>
    <row r="112" spans="1:9" x14ac:dyDescent="0.3">
      <c r="A112" s="31">
        <v>92</v>
      </c>
      <c r="B112" s="25">
        <v>0.21661</v>
      </c>
      <c r="C112" s="37">
        <f t="shared" si="9"/>
        <v>0.78339000000000003</v>
      </c>
      <c r="D112" s="38">
        <f t="shared" si="11"/>
        <v>327.58514393027087</v>
      </c>
      <c r="E112" s="38">
        <f t="shared" si="10"/>
        <v>70.958218026735977</v>
      </c>
      <c r="F112" s="38">
        <f t="shared" si="7"/>
        <v>8.8768111932279741</v>
      </c>
      <c r="G112" s="39">
        <f t="shared" si="8"/>
        <v>1.8488519928510685</v>
      </c>
      <c r="H112" s="38">
        <f>SUM(F112:F$118)</f>
        <v>29.08695604765223</v>
      </c>
      <c r="I112" s="36">
        <f>SUM(G112:G$118)</f>
        <v>7.1077178364548876</v>
      </c>
    </row>
    <row r="113" spans="1:9" x14ac:dyDescent="0.3">
      <c r="A113" s="31">
        <v>93</v>
      </c>
      <c r="B113" s="25">
        <v>0.23624000000000001</v>
      </c>
      <c r="C113" s="37">
        <f t="shared" si="9"/>
        <v>0.76375999999999999</v>
      </c>
      <c r="D113" s="38">
        <f t="shared" si="11"/>
        <v>256.62692590353493</v>
      </c>
      <c r="E113" s="38">
        <f t="shared" si="10"/>
        <v>60.625544975451092</v>
      </c>
      <c r="F113" s="38">
        <f t="shared" si="7"/>
        <v>6.6865433852527527</v>
      </c>
      <c r="G113" s="39">
        <f t="shared" si="8"/>
        <v>1.5188740474347209</v>
      </c>
      <c r="H113" s="38">
        <f>SUM(F113:F$118)</f>
        <v>20.21014485442425</v>
      </c>
      <c r="I113" s="36">
        <f>SUM(G113:G$118)</f>
        <v>5.2588658436038198</v>
      </c>
    </row>
    <row r="114" spans="1:9" x14ac:dyDescent="0.3">
      <c r="A114" s="31">
        <v>94</v>
      </c>
      <c r="B114" s="25">
        <v>0.25723000000000001</v>
      </c>
      <c r="C114" s="37">
        <f t="shared" si="9"/>
        <v>0.74276999999999993</v>
      </c>
      <c r="D114" s="38">
        <f t="shared" si="11"/>
        <v>196.00138092808385</v>
      </c>
      <c r="E114" s="38">
        <f t="shared" si="10"/>
        <v>50.417435216131011</v>
      </c>
      <c r="F114" s="38">
        <f t="shared" si="7"/>
        <v>4.9104945922313856</v>
      </c>
      <c r="G114" s="39">
        <f t="shared" si="8"/>
        <v>1.2145447345766149</v>
      </c>
      <c r="H114" s="38">
        <f>SUM(F114:F$118)</f>
        <v>13.523601469171501</v>
      </c>
      <c r="I114" s="36">
        <f>SUM(G114:G$118)</f>
        <v>3.739991796169098</v>
      </c>
    </row>
    <row r="115" spans="1:9" x14ac:dyDescent="0.3">
      <c r="A115" s="31">
        <v>95</v>
      </c>
      <c r="B115" s="25">
        <v>0.27962999999999999</v>
      </c>
      <c r="C115" s="37">
        <f t="shared" si="9"/>
        <v>0.72036999999999995</v>
      </c>
      <c r="D115" s="38">
        <f>D114-E114</f>
        <v>145.58394571195282</v>
      </c>
      <c r="E115" s="38">
        <f>D115*B115</f>
        <v>40.709638739433366</v>
      </c>
      <c r="F115" s="38">
        <f t="shared" si="7"/>
        <v>3.5070846810304865</v>
      </c>
      <c r="G115" s="39">
        <f t="shared" si="8"/>
        <v>0.94296739361207205</v>
      </c>
      <c r="H115" s="38">
        <f>SUM(F115:F$118)</f>
        <v>8.6131068769401153</v>
      </c>
      <c r="I115" s="36">
        <f>SUM(G115:G$118)</f>
        <v>2.5254470615924833</v>
      </c>
    </row>
    <row r="116" spans="1:9" x14ac:dyDescent="0.3">
      <c r="A116" s="31">
        <v>96</v>
      </c>
      <c r="B116" s="25">
        <v>0.30348999999999998</v>
      </c>
      <c r="C116" s="37">
        <f t="shared" si="9"/>
        <v>0.69650999999999996</v>
      </c>
      <c r="D116" s="38">
        <f t="shared" si="11"/>
        <v>104.87430697251946</v>
      </c>
      <c r="E116" s="38">
        <f t="shared" si="10"/>
        <v>31.828303423089931</v>
      </c>
      <c r="F116" s="38">
        <f t="shared" si="7"/>
        <v>2.429229415071088</v>
      </c>
      <c r="G116" s="39">
        <f t="shared" si="8"/>
        <v>0.7088911876730043</v>
      </c>
      <c r="H116" s="38">
        <f>SUM(F116:F$118)</f>
        <v>5.1060221959096284</v>
      </c>
      <c r="I116" s="36">
        <f>SUM(G116:G$118)</f>
        <v>1.5824796679804116</v>
      </c>
    </row>
    <row r="117" spans="1:9" x14ac:dyDescent="0.3">
      <c r="A117" s="31">
        <v>97</v>
      </c>
      <c r="B117" s="25">
        <v>0.32885999999999999</v>
      </c>
      <c r="C117" s="37">
        <f t="shared" si="9"/>
        <v>0.67114000000000007</v>
      </c>
      <c r="D117" s="38">
        <f t="shared" si="11"/>
        <v>73.046003549429528</v>
      </c>
      <c r="E117" s="38">
        <f t="shared" si="10"/>
        <v>24.021908727265394</v>
      </c>
      <c r="F117" s="38">
        <f t="shared" si="7"/>
        <v>1.6269063268184263</v>
      </c>
      <c r="G117" s="39">
        <f t="shared" si="8"/>
        <v>0.51444655253606508</v>
      </c>
      <c r="H117" s="38">
        <f>SUM(F117:F$118)</f>
        <v>2.6767927808385403</v>
      </c>
      <c r="I117" s="36">
        <f>SUM(G117:G$118)</f>
        <v>0.87358848030740721</v>
      </c>
    </row>
    <row r="118" spans="1:9" ht="15" thickBot="1" x14ac:dyDescent="0.35">
      <c r="A118" s="32">
        <v>98</v>
      </c>
      <c r="B118" s="26">
        <v>0.35576000000000002</v>
      </c>
      <c r="C118" s="40">
        <f t="shared" si="9"/>
        <v>0.64423999999999992</v>
      </c>
      <c r="D118" s="41">
        <f t="shared" si="11"/>
        <v>49.02409482216413</v>
      </c>
      <c r="E118" s="41">
        <f t="shared" si="10"/>
        <v>17.440811973933112</v>
      </c>
      <c r="F118" s="41">
        <f t="shared" si="7"/>
        <v>1.049886454020114</v>
      </c>
      <c r="G118" s="42">
        <f t="shared" si="8"/>
        <v>0.35914192777134207</v>
      </c>
      <c r="H118" s="41">
        <f>SUM(F118:F$118)</f>
        <v>1.049886454020114</v>
      </c>
      <c r="I118" s="43">
        <f>SUM(G118:G$118)</f>
        <v>0.35914192777134207</v>
      </c>
    </row>
  </sheetData>
  <mergeCells count="8">
    <mergeCell ref="K42:K47"/>
    <mergeCell ref="K13:K14"/>
    <mergeCell ref="K51:K55"/>
    <mergeCell ref="K59:K63"/>
    <mergeCell ref="L13:L14"/>
    <mergeCell ref="K19:K22"/>
    <mergeCell ref="K26:K30"/>
    <mergeCell ref="K34:K38"/>
  </mergeCells>
  <dataValidations count="2">
    <dataValidation type="list" allowBlank="1" showInputMessage="1" showErrorMessage="1" sqref="L5" xr:uid="{BCDC2C9A-9B9C-44D7-9D3E-32EE9C4296A9}">
      <formula1>"Male, Female"</formula1>
    </dataValidation>
    <dataValidation type="list" allowBlank="1" showInputMessage="1" showErrorMessage="1" sqref="L3" xr:uid="{08A53FFB-BB80-403E-AA7D-DA1633A53C78}">
      <formula1>"Whole Life Insurance, Term Life Insurance, Pure Endowment Insurance, Endowment Insurance, Whole Life Annuity, Term Life Annuity"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Sharifah Nur Afiqah</cp:lastModifiedBy>
  <dcterms:created xsi:type="dcterms:W3CDTF">2023-04-13T09:06:25Z</dcterms:created>
  <dcterms:modified xsi:type="dcterms:W3CDTF">2026-09-21T07:28:12Z</dcterms:modified>
</cp:coreProperties>
</file>